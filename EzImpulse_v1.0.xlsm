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"/>
    </mc:Choice>
  </mc:AlternateContent>
  <xr:revisionPtr revIDLastSave="0" documentId="13_ncr:1_{1DA057DF-FDCB-4B22-BBB1-F8C8460B92C8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Read Me" sheetId="11" r:id="rId1"/>
    <sheet name="IMPULSE" sheetId="4" r:id="rId2"/>
    <sheet name="Class" sheetId="10" r:id="rId3"/>
    <sheet name="atmosphere" sheetId="9" r:id="rId4"/>
    <sheet name="calcs" sheetId="3" r:id="rId5"/>
  </sheets>
  <definedNames>
    <definedName name="aa">#REF!</definedName>
    <definedName name="bb">#REF!</definedName>
    <definedName name="cc">#REF!</definedName>
    <definedName name="cd">IMPULSE!$C$11</definedName>
    <definedName name="coa">atmosphere!$C$27</definedName>
    <definedName name="cob">atmosphere!$C$28</definedName>
    <definedName name="coc">atmosphere!$C$29</definedName>
    <definedName name="cod">IMPULSE!$I$9</definedName>
    <definedName name="dia">IMPULSE!$C$10</definedName>
    <definedName name="fz">calcs!$C$18</definedName>
    <definedName name="g">calcs!$C$10</definedName>
    <definedName name="hda">calcs!$C$5</definedName>
    <definedName name="hdb">calcs!$C$6</definedName>
    <definedName name="hdq">calcs!$C$4</definedName>
    <definedName name="imp">IMPULSE!$C$19</definedName>
    <definedName name="itable">Class!$C$5:$E$21</definedName>
    <definedName name="k">calcs!$C$11</definedName>
    <definedName name="mass">#REF!</definedName>
    <definedName name="mavg">calcs!$C$9</definedName>
    <definedName name="md">IMPULSE!$C$8</definedName>
    <definedName name="n">calcs!$C$17</definedName>
    <definedName name="ratio">IMPULSE!$C$9</definedName>
    <definedName name="tim">IMPULSE!$C$7</definedName>
    <definedName name="time">#REF!</definedName>
    <definedName name="velo1">calcs!$C$12</definedName>
    <definedName name="zed1">calcs!$C$15</definedName>
    <definedName name="zed2">calcs!$C$19</definedName>
    <definedName name="zpeak">IMPULSE!$C$6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4" l="1"/>
  <c r="B26" i="4"/>
  <c r="C11" i="3"/>
  <c r="C9" i="3"/>
  <c r="C12" i="3" l="1"/>
  <c r="C17" i="3" s="1"/>
  <c r="C19" i="3"/>
  <c r="C15" i="3"/>
  <c r="E21" i="10"/>
  <c r="E20" i="10"/>
  <c r="E19" i="10"/>
  <c r="E18" i="10"/>
  <c r="E17" i="10"/>
  <c r="E16" i="10"/>
  <c r="E15" i="10"/>
  <c r="E14" i="10"/>
  <c r="E13" i="10"/>
  <c r="E12" i="10"/>
  <c r="E11" i="10"/>
  <c r="E10" i="10"/>
  <c r="C10" i="10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E9" i="10"/>
  <c r="E8" i="10"/>
  <c r="E7" i="10"/>
  <c r="E6" i="10"/>
  <c r="D6" i="10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E5" i="10"/>
  <c r="C16" i="3" l="1"/>
  <c r="C13" i="3"/>
  <c r="D17" i="3"/>
  <c r="F24" i="4" s="1"/>
  <c r="C24" i="4"/>
  <c r="C18" i="3"/>
  <c r="C20" i="3" s="1"/>
  <c r="C26" i="4" s="1"/>
  <c r="D26" i="4" s="1"/>
  <c r="E13" i="4" s="1"/>
  <c r="C20" i="4"/>
  <c r="E26" i="4" l="1"/>
  <c r="C16" i="4"/>
  <c r="C22" i="4" l="1"/>
  <c r="E20" i="4" l="1"/>
  <c r="C23" i="4" l="1"/>
  <c r="F23" i="4" s="1"/>
  <c r="C14" i="3"/>
  <c r="C17" i="4" l="1"/>
  <c r="C18" i="4" s="1"/>
  <c r="C2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Nakka, Richard</author>
  </authors>
  <commentList>
    <comment ref="C1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The peak altitude you want your rocket to achieve.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Expected burn time of the rocket motor. If unsure, use 1.0 second.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Expected liftoff mass of the rocket, less propellant.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Typically in the range of 10% to 30%. Change this value as needed to adjust Isp to match your propellant.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Maximum diameter.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5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Drag coefficient (Cd) may be considered to be constant for subsonic rockets. For transonic or supersonic flight, use the overall average value.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This is related to motor total impulse and Isp and is determined from "r".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The maximum velocity of the rocket.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Burnout velocity relative to the local speed of sound.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The total impulse of the motor required to achieve your apogee goal.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2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Based on total impulse, the class (size) of the motor using the conventional letter system. Class percentage rating (from 0% to 100%) defines how the motor fares within its specific class.</t>
        </r>
      </text>
    </comment>
    <comment ref="C2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Altitude at which propellant is fully expended, and coasting to apogee begins.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Calculated from total impulse divided by burn time.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Calculated as total impulse divided by propellant mass. This value should match your choice of propellant.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See "Limitiations" below. The value of N should be less than 2000. If greater, less certainty of the results can be expected.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<sst xmlns="http://schemas.openxmlformats.org/spreadsheetml/2006/main" count="149" uniqueCount="134">
  <si>
    <t>t =</t>
  </si>
  <si>
    <t>N</t>
  </si>
  <si>
    <t>kg.</t>
  </si>
  <si>
    <t>m.</t>
  </si>
  <si>
    <t>sec.</t>
  </si>
  <si>
    <t>N-sec.</t>
  </si>
  <si>
    <t>fz</t>
  </si>
  <si>
    <t>a</t>
  </si>
  <si>
    <t>I</t>
  </si>
  <si>
    <t>m</t>
  </si>
  <si>
    <t>g</t>
  </si>
  <si>
    <t>md</t>
  </si>
  <si>
    <t>D</t>
  </si>
  <si>
    <t>Cd</t>
  </si>
  <si>
    <t>Zpeak</t>
  </si>
  <si>
    <t>K</t>
  </si>
  <si>
    <t>V1</t>
  </si>
  <si>
    <t>Z1</t>
  </si>
  <si>
    <t>Z2</t>
  </si>
  <si>
    <t>cm.</t>
  </si>
  <si>
    <t>m/sec^2</t>
  </si>
  <si>
    <t>m/sec.</t>
  </si>
  <si>
    <t xml:space="preserve">  Equation                : q_0*(1+b*x/a)**(-1/b)</t>
  </si>
  <si>
    <t xml:space="preserve">    q_0 = </t>
  </si>
  <si>
    <t xml:space="preserve">    a = </t>
  </si>
  <si>
    <t xml:space="preserve">    b = </t>
  </si>
  <si>
    <t>F</t>
  </si>
  <si>
    <t>N.</t>
  </si>
  <si>
    <t>A</t>
  </si>
  <si>
    <t>B</t>
  </si>
  <si>
    <t>C</t>
  </si>
  <si>
    <t>E</t>
  </si>
  <si>
    <t>G</t>
  </si>
  <si>
    <t>H</t>
  </si>
  <si>
    <t>J</t>
  </si>
  <si>
    <t>L</t>
  </si>
  <si>
    <t>M</t>
  </si>
  <si>
    <t>O</t>
  </si>
  <si>
    <t>P</t>
  </si>
  <si>
    <t>Q</t>
  </si>
  <si>
    <t>metres</t>
  </si>
  <si>
    <t>r</t>
  </si>
  <si>
    <t>mp</t>
  </si>
  <si>
    <t>Zpeak =</t>
  </si>
  <si>
    <t>Target apogee</t>
  </si>
  <si>
    <t>Motor burn time</t>
  </si>
  <si>
    <t>Rocket empty mass</t>
  </si>
  <si>
    <t>%</t>
  </si>
  <si>
    <t>Percentage of propellant mass to rocket empty mass</t>
  </si>
  <si>
    <t>Rocket diameter</t>
  </si>
  <si>
    <t>Rocket average drag coefficient</t>
  </si>
  <si>
    <t>INPUT DATA</t>
  </si>
  <si>
    <t>class</t>
  </si>
  <si>
    <t>&lt;= burnout altitude</t>
  </si>
  <si>
    <t>RESULTS</t>
  </si>
  <si>
    <t>ESTIMATING MOTOR TOTAL IMPULSE REQUIRED TO ACHIEVE TARGET APOGEE</t>
  </si>
  <si>
    <t>where  ϑ  is the temperature of air in degrees C.</t>
  </si>
  <si>
    <t>6.49 degrees C per kilometre</t>
  </si>
  <si>
    <t>atmospheric temperature lapse rate:</t>
  </si>
  <si>
    <t xml:space="preserve">a = ( 331.3 + 0.606 ⋅ ϑ )       m / s </t>
  </si>
  <si>
    <t>speed of sound in dry air:</t>
  </si>
  <si>
    <t>mach</t>
  </si>
  <si>
    <t>Isp</t>
  </si>
  <si>
    <t>fv</t>
  </si>
  <si>
    <t>fzbo</t>
  </si>
  <si>
    <t>Vbo</t>
  </si>
  <si>
    <t>&lt;= Burnout velocity</t>
  </si>
  <si>
    <t>Zbo</t>
  </si>
  <si>
    <t>&lt;= Propellant specific impulse required</t>
  </si>
  <si>
    <t>Rocket motor class (N-sec)</t>
  </si>
  <si>
    <t>coefficient a =</t>
  </si>
  <si>
    <t>coefficient b =</t>
  </si>
  <si>
    <t>lapse rate =</t>
  </si>
  <si>
    <t>temperature =</t>
  </si>
  <si>
    <t>C./km</t>
  </si>
  <si>
    <t xml:space="preserve">C.   </t>
  </si>
  <si>
    <t>Hyperbolic Decline model:</t>
  </si>
  <si>
    <t>motor class</t>
  </si>
  <si>
    <t>Instructions: Enter input data, then click on button to solve</t>
  </si>
  <si>
    <t>&lt;= Motor total impulse required</t>
  </si>
  <si>
    <r>
      <t>I</t>
    </r>
    <r>
      <rPr>
        <sz val="9"/>
        <color theme="1"/>
        <rFont val="Calibri"/>
        <family val="2"/>
        <scheme val="minor"/>
      </rPr>
      <t>t</t>
    </r>
  </si>
  <si>
    <r>
      <t xml:space="preserve">This spreadsheet calculates the </t>
    </r>
    <r>
      <rPr>
        <b/>
        <sz val="11"/>
        <color theme="1"/>
        <rFont val="Calibri"/>
        <family val="2"/>
        <scheme val="minor"/>
      </rPr>
      <t>total impulse</t>
    </r>
    <r>
      <rPr>
        <sz val="11"/>
        <color theme="1"/>
        <rFont val="Calibri"/>
        <family val="2"/>
        <scheme val="minor"/>
      </rPr>
      <t xml:space="preserve"> required of a rocket motor</t>
    </r>
  </si>
  <si>
    <t>input the following rocket parameters:</t>
  </si>
  <si>
    <t>Target apogee (metres)</t>
  </si>
  <si>
    <t>Motor burn time (seconds)</t>
  </si>
  <si>
    <t>Rocket empty mass (kilograms)</t>
  </si>
  <si>
    <t>Percentage of propellant mass relative to rocket empty mass</t>
  </si>
  <si>
    <t>Rocket diameter (centimetres)</t>
  </si>
  <si>
    <t>The calculated output is the following:</t>
  </si>
  <si>
    <t>Propellant mass required</t>
  </si>
  <si>
    <t>Burnout velocity</t>
  </si>
  <si>
    <t>Mach number at burnout</t>
  </si>
  <si>
    <t xml:space="preserve">Motor total impulse required </t>
  </si>
  <si>
    <t>Burnout altitude</t>
  </si>
  <si>
    <t>Motor average thrust required</t>
  </si>
  <si>
    <t>Propellant specific impulse required</t>
  </si>
  <si>
    <t>To use the spreadsheet, click on the IMPULSE tab and enter the required input data.</t>
  </si>
  <si>
    <t>Then click on the SOLVE button to run the macro.</t>
  </si>
  <si>
    <t>Version 1.0 (May 2021)</t>
  </si>
  <si>
    <t>Written by R.A. Nakka</t>
  </si>
  <si>
    <t>For free distribution</t>
  </si>
  <si>
    <t>LIMITATIONS</t>
  </si>
  <si>
    <r>
      <t xml:space="preserve">This spreadsheet provides an </t>
    </r>
    <r>
      <rPr>
        <b/>
        <sz val="11"/>
        <color theme="1"/>
        <rFont val="Calibri"/>
        <family val="2"/>
        <scheme val="minor"/>
      </rPr>
      <t>estimate</t>
    </r>
    <r>
      <rPr>
        <sz val="11"/>
        <color theme="1"/>
        <rFont val="Calibri"/>
        <family val="2"/>
        <scheme val="minor"/>
      </rPr>
      <t xml:space="preserve"> of the outputted parameters. The purpose of</t>
    </r>
  </si>
  <si>
    <t>As such, the results should not be considered to be definitive. An established rocket</t>
  </si>
  <si>
    <t>The method of calculation is limited to low-medium performance rockets. Specifically,</t>
  </si>
  <si>
    <t xml:space="preserve">Where: </t>
  </si>
  <si>
    <t>N = drag influence number</t>
  </si>
  <si>
    <r>
      <t>C</t>
    </r>
    <r>
      <rPr>
        <sz val="9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 drag coefficient</t>
    </r>
  </si>
  <si>
    <t>D = rocket max. diameter (centimetres)</t>
  </si>
  <si>
    <r>
      <t>V</t>
    </r>
    <r>
      <rPr>
        <sz val="9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 burnout velocity (metres/second)</t>
    </r>
  </si>
  <si>
    <r>
      <t>m</t>
    </r>
    <r>
      <rPr>
        <sz val="9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 rocket empty mass</t>
    </r>
  </si>
  <si>
    <t>INTRODUCTION</t>
  </si>
  <si>
    <t>simulation software (such as RASAero, AeroLab, etc.) should be used subsequently</t>
  </si>
  <si>
    <t>to obtain a more precise result for peak altitude.</t>
  </si>
  <si>
    <t>If the calculated value of N exceeds the limit of 2000, a warning message is posted.</t>
  </si>
  <si>
    <t>SIMPLIFIED METHOD FOR ESTIMATING THE FLIGHT PERFORMANCE OF A HOBBY ROCKET</t>
  </si>
  <si>
    <t>http://www.nakka-rocketry.net/articles/altcalc.pdf</t>
  </si>
  <si>
    <r>
      <t xml:space="preserve">needed to achieve a specified  </t>
    </r>
    <r>
      <rPr>
        <b/>
        <sz val="11"/>
        <color theme="1"/>
        <rFont val="Calibri"/>
        <family val="2"/>
        <scheme val="minor"/>
      </rPr>
      <t>peak altitude goal</t>
    </r>
    <r>
      <rPr>
        <sz val="11"/>
        <color theme="1"/>
        <rFont val="Calibri"/>
        <family val="2"/>
        <scheme val="minor"/>
      </rPr>
      <t>. The user is required to</t>
    </r>
  </si>
  <si>
    <t>All other tabs may be ignored (these are used by the calculation algorithm)</t>
  </si>
  <si>
    <r>
      <t xml:space="preserve">this spreadsheet is to serve as a </t>
    </r>
    <r>
      <rPr>
        <b/>
        <sz val="11"/>
        <color theme="1"/>
        <rFont val="Calibri"/>
        <family val="2"/>
        <scheme val="minor"/>
      </rPr>
      <t>design aid</t>
    </r>
    <r>
      <rPr>
        <sz val="11"/>
        <color theme="1"/>
        <rFont val="Calibri"/>
        <family val="2"/>
        <scheme val="minor"/>
      </rPr>
      <t xml:space="preserve"> for amateur/experimental/ model rockets.</t>
    </r>
  </si>
  <si>
    <t>&lt;= propellant mass required</t>
  </si>
  <si>
    <t>&lt;= Motor average thrust required</t>
  </si>
  <si>
    <t>METHOD REFERENCE</t>
  </si>
  <si>
    <t>If the calculated value for specific impulse exceeds 250 seconds, a warning message</t>
  </si>
  <si>
    <t>is posted. To resolve, simply increase the value of propellant mass to rocket mass (r).</t>
  </si>
  <si>
    <t>Class of motor including class percentage rating</t>
  </si>
  <si>
    <t>&lt;= Mach number at burnout</t>
  </si>
  <si>
    <t xml:space="preserve">N </t>
  </si>
  <si>
    <t>&lt;= Drag Influence Number</t>
  </si>
  <si>
    <r>
      <t xml:space="preserve">Note: in case of calculation error (macro failure) type a value into cell </t>
    </r>
    <r>
      <rPr>
        <b/>
        <i/>
        <sz val="10"/>
        <color rgb="FF7030A0"/>
        <rFont val="Calibri"/>
        <family val="2"/>
        <scheme val="minor"/>
      </rPr>
      <t xml:space="preserve">C19 </t>
    </r>
    <r>
      <rPr>
        <i/>
        <sz val="10"/>
        <color rgb="FF7030A0"/>
        <rFont val="Calibri"/>
        <family val="2"/>
        <scheme val="minor"/>
      </rPr>
      <t>(e.g. 100) then re-run macro.</t>
    </r>
  </si>
  <si>
    <t>Drag Influence Number</t>
  </si>
  <si>
    <t>fv-N slope</t>
  </si>
  <si>
    <t>fzbo-N slope</t>
  </si>
  <si>
    <t>EzImpulse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</si>
</sst>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2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sz val="11"/>
      <color theme="0" tint="-0.34998626667073579"/>
      <name val="Calibri"/>
      <family val="2"/>
      <scheme val="minor"/>
    </font>
    <font>
      <sz val="10"/>
      <color theme="0" tint="-0.34998626667073579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rgb="FF7030A0"/>
      <name val="Calibri"/>
      <family val="2"/>
      <scheme val="minor"/>
    </font>
    <font>
      <b/>
      <i/>
      <sz val="10"/>
      <color rgb="FF7030A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vertical="center" wrapText="1"/>
    </xf>
    <xf numFmtId="11" fontId="1" fillId="0" borderId="0" xfId="0" applyNumberFormat="1" applyFont="1" applyAlignment="1">
      <alignment vertical="center" wrapText="1"/>
    </xf>
    <xf numFmtId="0" fontId="2" fillId="0" borderId="0" xfId="0" applyFont="1" applyAlignment="1">
      <alignment horizontal="right"/>
    </xf>
    <xf numFmtId="0" fontId="3" fillId="0" borderId="0" xfId="0" applyFont="1" applyAlignment="1">
      <alignment vertical="center" wrapText="1"/>
    </xf>
    <xf numFmtId="11" fontId="3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right"/>
    </xf>
    <xf numFmtId="0" fontId="0" fillId="0" borderId="1" xfId="0" applyBorder="1"/>
    <xf numFmtId="0" fontId="6" fillId="0" borderId="0" xfId="0" applyFont="1"/>
    <xf numFmtId="0" fontId="0" fillId="0" borderId="0" xfId="0" applyAlignment="1">
      <alignment horizontal="left" vertical="center" indent="1"/>
    </xf>
    <xf numFmtId="0" fontId="7" fillId="0" borderId="0" xfId="2"/>
    <xf numFmtId="0" fontId="8" fillId="0" borderId="0" xfId="0" applyFont="1" applyAlignment="1">
      <alignment horizontal="right"/>
    </xf>
    <xf numFmtId="11" fontId="0" fillId="0" borderId="0" xfId="0" applyNumberFormat="1"/>
    <xf numFmtId="0" fontId="5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6" fillId="0" borderId="0" xfId="0" applyFont="1" applyAlignment="1">
      <alignment horizontal="right"/>
    </xf>
    <xf numFmtId="9" fontId="0" fillId="0" borderId="0" xfId="1" applyFont="1" applyFill="1" applyBorder="1" applyAlignment="1">
      <alignment horizontal="left"/>
    </xf>
    <xf numFmtId="0" fontId="12" fillId="0" borderId="0" xfId="0" applyFont="1" applyAlignment="1">
      <alignment horizontal="right"/>
    </xf>
    <xf numFmtId="0" fontId="14" fillId="0" borderId="0" xfId="0" applyFont="1"/>
    <xf numFmtId="0" fontId="16" fillId="0" borderId="0" xfId="0" applyFont="1"/>
    <xf numFmtId="0" fontId="5" fillId="0" borderId="0" xfId="0" applyFont="1" applyAlignment="1">
      <alignment horizontal="right"/>
    </xf>
    <xf numFmtId="1" fontId="5" fillId="0" borderId="0" xfId="0" applyNumberFormat="1" applyFont="1"/>
    <xf numFmtId="0" fontId="10" fillId="0" borderId="0" xfId="0" applyFont="1" applyAlignment="1">
      <alignment horizontal="left"/>
    </xf>
    <xf numFmtId="0" fontId="17" fillId="0" borderId="0" xfId="0" applyFont="1"/>
    <xf numFmtId="0" fontId="21" fillId="0" borderId="0" xfId="0" applyFont="1"/>
    <xf numFmtId="0" fontId="5" fillId="2" borderId="1" xfId="0" applyFont="1" applyFill="1" applyBorder="1" applyProtection="1">
      <protection locked="0"/>
    </xf>
    <xf numFmtId="1" fontId="0" fillId="3" borderId="0" xfId="0" applyNumberFormat="1" applyFill="1" applyProtection="1">
      <protection locked="0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51955</xdr:colOff>
      <xdr:row>38</xdr:row>
      <xdr:rowOff>132772</xdr:rowOff>
    </xdr:from>
    <xdr:to>
      <xdr:col>4</xdr:col>
      <xdr:colOff>85115</xdr:colOff>
      <xdr:row>41</xdr:row>
      <xdr:rowOff>1341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3864" y="6782954"/>
          <a:ext cx="1482115" cy="422751"/>
        </a:xfrm>
        <a:prstGeom prst="rect">
          <a:avLst/>
        </a:prstGeom>
      </xdr:spPr>
    </xdr:pic>
    <xdr:clientData/>
  </xdr:twoCellAnchor>
  <xdr:twoCellAnchor editAs="oneCell">
    <xdr:from>
      <xdr:col>0</xdr:col>
      <xdr:colOff>288637</xdr:colOff>
      <xdr:row>1</xdr:row>
      <xdr:rowOff>17319</xdr:rowOff>
    </xdr:from>
    <xdr:to>
      <xdr:col>0</xdr:col>
      <xdr:colOff>555304</xdr:colOff>
      <xdr:row>5</xdr:row>
      <xdr:rowOff>7407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8637" y="138546"/>
          <a:ext cx="266667" cy="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11</xdr:row>
          <xdr:rowOff>177800</xdr:rowOff>
        </xdr:from>
        <xdr:to>
          <xdr:col>3</xdr:col>
          <xdr:colOff>19050</xdr:colOff>
          <xdr:row>13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59999389629810485"/>
  </sheetPr>
  <dimension ref="B1:H54"/>
  <sheetViews>
    <sheetView showGridLines="0" zoomScale="110" zoomScaleNormal="110" workbookViewId="0">
      <selection activeCell="G11" sqref="G11"/>
    </sheetView>
  </sheetViews>
  <sheetFormatPr defaultRowHeight="14.5" x14ac:dyDescent="0.35"/>
  <cols>
    <col min="2" max="2" width="3.1796875" customWidth="1"/>
  </cols>
  <sheetData>
    <row r="1" spans="2:8" ht="9.5" customHeight="1" x14ac:dyDescent="0.35"/>
    <row r="2" spans="2:8" ht="18.5" x14ac:dyDescent="0.45">
      <c r="B2" s="31" t="s">
        <v>133</v>
      </c>
    </row>
    <row r="3" spans="2:8" x14ac:dyDescent="0.35">
      <c r="H3" s="26" t="s">
        <v>99</v>
      </c>
    </row>
    <row r="4" spans="2:8" x14ac:dyDescent="0.35">
      <c r="H4" s="26" t="s">
        <v>98</v>
      </c>
    </row>
    <row r="5" spans="2:8" x14ac:dyDescent="0.35">
      <c r="H5" s="26" t="s">
        <v>100</v>
      </c>
    </row>
    <row r="6" spans="2:8" x14ac:dyDescent="0.35">
      <c r="B6" s="18" t="s">
        <v>111</v>
      </c>
    </row>
    <row r="7" spans="2:8" x14ac:dyDescent="0.35">
      <c r="B7" t="s">
        <v>81</v>
      </c>
    </row>
    <row r="8" spans="2:8" x14ac:dyDescent="0.35">
      <c r="B8" t="s">
        <v>117</v>
      </c>
    </row>
    <row r="9" spans="2:8" x14ac:dyDescent="0.35">
      <c r="B9" t="s">
        <v>82</v>
      </c>
    </row>
    <row r="10" spans="2:8" x14ac:dyDescent="0.35">
      <c r="B10">
        <v>1</v>
      </c>
      <c r="C10" t="s">
        <v>83</v>
      </c>
    </row>
    <row r="11" spans="2:8" x14ac:dyDescent="0.35">
      <c r="B11">
        <v>2</v>
      </c>
      <c r="C11" t="s">
        <v>84</v>
      </c>
    </row>
    <row r="12" spans="2:8" x14ac:dyDescent="0.35">
      <c r="B12">
        <v>3</v>
      </c>
      <c r="C12" t="s">
        <v>85</v>
      </c>
    </row>
    <row r="13" spans="2:8" x14ac:dyDescent="0.35">
      <c r="B13">
        <v>4</v>
      </c>
      <c r="C13" t="s">
        <v>86</v>
      </c>
    </row>
    <row r="14" spans="2:8" x14ac:dyDescent="0.35">
      <c r="B14">
        <v>5</v>
      </c>
      <c r="C14" t="s">
        <v>87</v>
      </c>
    </row>
    <row r="15" spans="2:8" x14ac:dyDescent="0.35">
      <c r="B15">
        <v>6</v>
      </c>
      <c r="C15" t="s">
        <v>50</v>
      </c>
    </row>
    <row r="17" spans="2:3" x14ac:dyDescent="0.35">
      <c r="B17" t="s">
        <v>88</v>
      </c>
    </row>
    <row r="18" spans="2:3" x14ac:dyDescent="0.35">
      <c r="B18">
        <v>1</v>
      </c>
      <c r="C18" t="s">
        <v>89</v>
      </c>
    </row>
    <row r="19" spans="2:3" x14ac:dyDescent="0.35">
      <c r="B19">
        <v>2</v>
      </c>
      <c r="C19" t="s">
        <v>90</v>
      </c>
    </row>
    <row r="20" spans="2:3" x14ac:dyDescent="0.35">
      <c r="B20">
        <v>3</v>
      </c>
      <c r="C20" t="s">
        <v>91</v>
      </c>
    </row>
    <row r="21" spans="2:3" x14ac:dyDescent="0.35">
      <c r="B21">
        <v>4</v>
      </c>
      <c r="C21" t="s">
        <v>92</v>
      </c>
    </row>
    <row r="22" spans="2:3" x14ac:dyDescent="0.35">
      <c r="B22">
        <v>5</v>
      </c>
      <c r="C22" t="s">
        <v>125</v>
      </c>
    </row>
    <row r="23" spans="2:3" x14ac:dyDescent="0.35">
      <c r="B23">
        <v>6</v>
      </c>
      <c r="C23" t="s">
        <v>93</v>
      </c>
    </row>
    <row r="24" spans="2:3" x14ac:dyDescent="0.35">
      <c r="B24">
        <v>7</v>
      </c>
      <c r="C24" t="s">
        <v>94</v>
      </c>
    </row>
    <row r="25" spans="2:3" x14ac:dyDescent="0.35">
      <c r="B25">
        <v>8</v>
      </c>
      <c r="C25" t="s">
        <v>95</v>
      </c>
    </row>
    <row r="26" spans="2:3" x14ac:dyDescent="0.35">
      <c r="B26">
        <v>9</v>
      </c>
      <c r="C26" t="s">
        <v>130</v>
      </c>
    </row>
    <row r="28" spans="2:3" x14ac:dyDescent="0.35">
      <c r="B28" s="18" t="s">
        <v>96</v>
      </c>
      <c r="C28" s="18"/>
    </row>
    <row r="29" spans="2:3" x14ac:dyDescent="0.35">
      <c r="B29" s="18" t="s">
        <v>97</v>
      </c>
      <c r="C29" s="18"/>
    </row>
    <row r="30" spans="2:3" x14ac:dyDescent="0.35">
      <c r="B30" t="s">
        <v>118</v>
      </c>
    </row>
    <row r="32" spans="2:3" x14ac:dyDescent="0.35">
      <c r="B32" s="18" t="s">
        <v>101</v>
      </c>
      <c r="C32" s="18"/>
    </row>
    <row r="33" spans="2:4" x14ac:dyDescent="0.35">
      <c r="B33" t="s">
        <v>102</v>
      </c>
    </row>
    <row r="34" spans="2:4" x14ac:dyDescent="0.35">
      <c r="B34" t="s">
        <v>119</v>
      </c>
    </row>
    <row r="35" spans="2:4" x14ac:dyDescent="0.35">
      <c r="B35" t="s">
        <v>103</v>
      </c>
    </row>
    <row r="36" spans="2:4" x14ac:dyDescent="0.35">
      <c r="B36" t="s">
        <v>112</v>
      </c>
    </row>
    <row r="37" spans="2:4" x14ac:dyDescent="0.35">
      <c r="B37" t="s">
        <v>113</v>
      </c>
    </row>
    <row r="38" spans="2:4" x14ac:dyDescent="0.35">
      <c r="B38" t="s">
        <v>104</v>
      </c>
    </row>
    <row r="43" spans="2:4" x14ac:dyDescent="0.35">
      <c r="B43" t="s">
        <v>105</v>
      </c>
      <c r="D43" t="s">
        <v>106</v>
      </c>
    </row>
    <row r="44" spans="2:4" x14ac:dyDescent="0.35">
      <c r="D44" t="s">
        <v>107</v>
      </c>
    </row>
    <row r="45" spans="2:4" x14ac:dyDescent="0.35">
      <c r="D45" t="s">
        <v>108</v>
      </c>
    </row>
    <row r="46" spans="2:4" x14ac:dyDescent="0.35">
      <c r="D46" t="s">
        <v>109</v>
      </c>
    </row>
    <row r="47" spans="2:4" x14ac:dyDescent="0.35">
      <c r="D47" t="s">
        <v>110</v>
      </c>
    </row>
    <row r="48" spans="2:4" x14ac:dyDescent="0.35">
      <c r="B48" t="s">
        <v>114</v>
      </c>
    </row>
    <row r="49" spans="2:3" x14ac:dyDescent="0.35">
      <c r="B49" t="s">
        <v>123</v>
      </c>
    </row>
    <row r="50" spans="2:3" x14ac:dyDescent="0.35">
      <c r="B50" t="s">
        <v>124</v>
      </c>
    </row>
    <row r="52" spans="2:3" x14ac:dyDescent="0.35">
      <c r="B52" s="18" t="s">
        <v>122</v>
      </c>
      <c r="C52" s="18"/>
    </row>
    <row r="53" spans="2:3" x14ac:dyDescent="0.35">
      <c r="B53" s="13" t="s">
        <v>115</v>
      </c>
    </row>
    <row r="54" spans="2:3" x14ac:dyDescent="0.35">
      <c r="B54" t="s">
        <v>116</v>
      </c>
    </row>
  </sheetData>
  <sheetProtection password="C7BC" sheet="1" objects="1" scenarios="1"/>
  <pageMargins left="0.7" right="0.7" top="0.75" bottom="0.75" header="0.3" footer="0.3"/>
  <pageSetup orientation="portrait" horizontalDpi="90" verticalDpi="9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 tint="0.59999389629810485"/>
  </sheetPr>
  <dimension ref="A1:I27"/>
  <sheetViews>
    <sheetView showGridLines="0" tabSelected="1" topLeftCell="A4" zoomScale="110" zoomScaleNormal="110" workbookViewId="0">
      <selection activeCell="E19" sqref="E19"/>
    </sheetView>
  </sheetViews>
  <sheetFormatPr defaultRowHeight="14.5" x14ac:dyDescent="0.35"/>
  <cols>
    <col min="4" max="4" width="7.36328125" customWidth="1"/>
    <col min="5" max="5" width="34.6328125" customWidth="1"/>
    <col min="6" max="6" width="36.6328125" customWidth="1"/>
    <col min="7" max="7" width="9.54296875" bestFit="1" customWidth="1"/>
  </cols>
  <sheetData>
    <row r="1" spans="1:9" x14ac:dyDescent="0.35">
      <c r="A1" s="18" t="s">
        <v>55</v>
      </c>
    </row>
    <row r="2" spans="1:9" x14ac:dyDescent="0.35">
      <c r="A2" s="18"/>
    </row>
    <row r="3" spans="1:9" x14ac:dyDescent="0.35">
      <c r="A3" s="19" t="s">
        <v>78</v>
      </c>
    </row>
    <row r="5" spans="1:9" x14ac:dyDescent="0.35">
      <c r="C5" s="18" t="s">
        <v>51</v>
      </c>
      <c r="D5" s="18"/>
    </row>
    <row r="6" spans="1:9" x14ac:dyDescent="0.35">
      <c r="B6" s="1" t="s">
        <v>43</v>
      </c>
      <c r="C6" s="32">
        <v>1000</v>
      </c>
      <c r="D6" t="s">
        <v>40</v>
      </c>
      <c r="E6" s="2" t="s">
        <v>44</v>
      </c>
    </row>
    <row r="7" spans="1:9" x14ac:dyDescent="0.35">
      <c r="B7" s="1" t="s">
        <v>0</v>
      </c>
      <c r="C7" s="32">
        <v>1</v>
      </c>
      <c r="D7" t="s">
        <v>4</v>
      </c>
      <c r="E7" t="s">
        <v>45</v>
      </c>
    </row>
    <row r="8" spans="1:9" x14ac:dyDescent="0.35">
      <c r="B8" s="1" t="s">
        <v>11</v>
      </c>
      <c r="C8" s="32">
        <v>6.6</v>
      </c>
      <c r="D8" t="s">
        <v>2</v>
      </c>
      <c r="E8" t="s">
        <v>46</v>
      </c>
    </row>
    <row r="9" spans="1:9" x14ac:dyDescent="0.35">
      <c r="B9" s="1" t="s">
        <v>41</v>
      </c>
      <c r="C9" s="32">
        <v>14.2</v>
      </c>
      <c r="D9" t="s">
        <v>47</v>
      </c>
      <c r="E9" t="s">
        <v>48</v>
      </c>
      <c r="H9" s="8"/>
      <c r="I9" s="10"/>
    </row>
    <row r="10" spans="1:9" x14ac:dyDescent="0.35">
      <c r="B10" s="1" t="s">
        <v>12</v>
      </c>
      <c r="C10" s="32">
        <f>(3.5*25.4+3*2)/10</f>
        <v>9.4899999999999984</v>
      </c>
      <c r="D10" t="s">
        <v>19</v>
      </c>
      <c r="E10" t="s">
        <v>49</v>
      </c>
    </row>
    <row r="11" spans="1:9" x14ac:dyDescent="0.35">
      <c r="B11" s="1" t="s">
        <v>13</v>
      </c>
      <c r="C11" s="32">
        <v>0.45</v>
      </c>
      <c r="E11" t="s">
        <v>50</v>
      </c>
      <c r="H11" s="1"/>
      <c r="I11" s="4"/>
    </row>
    <row r="12" spans="1:9" x14ac:dyDescent="0.35">
      <c r="B12" s="1"/>
      <c r="C12" s="18"/>
      <c r="H12" s="1"/>
      <c r="I12" s="4"/>
    </row>
    <row r="13" spans="1:9" x14ac:dyDescent="0.35">
      <c r="B13" s="1"/>
      <c r="C13" s="18"/>
      <c r="E13" s="25" t="str">
        <f>IF(ABS(D26)&lt;0.01,"Solved","click button to solve")</f>
        <v>Solved</v>
      </c>
      <c r="H13" s="1"/>
      <c r="I13" s="4"/>
    </row>
    <row r="15" spans="1:9" x14ac:dyDescent="0.35">
      <c r="C15" s="18" t="s">
        <v>54</v>
      </c>
      <c r="D15" s="13"/>
    </row>
    <row r="16" spans="1:9" x14ac:dyDescent="0.35">
      <c r="B16" s="1" t="s">
        <v>42</v>
      </c>
      <c r="C16" s="4">
        <f>ratio/100*md</f>
        <v>0.93719999999999981</v>
      </c>
      <c r="D16" t="s">
        <v>2</v>
      </c>
      <c r="E16" t="s">
        <v>120</v>
      </c>
    </row>
    <row r="17" spans="2:6" x14ac:dyDescent="0.35">
      <c r="B17" s="1" t="s">
        <v>65</v>
      </c>
      <c r="C17" s="2">
        <f>calcs!C13*velo1</f>
        <v>154.60859318010947</v>
      </c>
      <c r="D17" t="s">
        <v>21</v>
      </c>
      <c r="E17" s="2" t="s">
        <v>66</v>
      </c>
    </row>
    <row r="18" spans="2:6" x14ac:dyDescent="0.35">
      <c r="B18" s="1" t="s">
        <v>61</v>
      </c>
      <c r="C18" s="3">
        <f>C17/calcs!C14</f>
        <v>0.45462083836334893</v>
      </c>
      <c r="E18" s="2" t="s">
        <v>126</v>
      </c>
    </row>
    <row r="19" spans="2:6" x14ac:dyDescent="0.35">
      <c r="B19" s="1" t="s">
        <v>80</v>
      </c>
      <c r="C19" s="33">
        <v>1175.0135519359565</v>
      </c>
      <c r="D19" t="s">
        <v>5</v>
      </c>
      <c r="E19" s="5" t="s">
        <v>79</v>
      </c>
    </row>
    <row r="20" spans="2:6" x14ac:dyDescent="0.35">
      <c r="B20" s="1" t="s">
        <v>77</v>
      </c>
      <c r="C20" s="24" t="str">
        <f>VLOOKUP(imp,itable,3)</f>
        <v>J</v>
      </c>
      <c r="D20" t="s">
        <v>52</v>
      </c>
      <c r="E20" s="23">
        <f>((imp-VLOOKUP(imp,itable,1))/(VLOOKUP(imp,itable,2)-VLOOKUP(imp,itable,1)))</f>
        <v>0.83595867489993192</v>
      </c>
    </row>
    <row r="21" spans="2:6" x14ac:dyDescent="0.35">
      <c r="B21" s="1" t="s">
        <v>67</v>
      </c>
      <c r="C21" s="2">
        <f>calcs!C16*zed1</f>
        <v>77.671136470624987</v>
      </c>
      <c r="D21" t="s">
        <v>40</v>
      </c>
      <c r="E21" s="2" t="s">
        <v>53</v>
      </c>
    </row>
    <row r="22" spans="2:6" x14ac:dyDescent="0.35">
      <c r="B22" s="1" t="s">
        <v>26</v>
      </c>
      <c r="C22" s="2">
        <f>imp/tim</f>
        <v>1175.0135519359565</v>
      </c>
      <c r="D22" t="s">
        <v>27</v>
      </c>
      <c r="E22" t="s">
        <v>121</v>
      </c>
    </row>
    <row r="23" spans="2:6" x14ac:dyDescent="0.35">
      <c r="B23" s="1" t="s">
        <v>62</v>
      </c>
      <c r="C23" s="2">
        <f>imp/C16/calcs!C10</f>
        <v>127.14733265805101</v>
      </c>
      <c r="D23" t="s">
        <v>4</v>
      </c>
      <c r="E23" t="s">
        <v>68</v>
      </c>
      <c r="F23" s="29" t="str">
        <f>IF(C23&gt;250,"Warning, 'Isp' too high, increase value of 'r'","OK")</f>
        <v>OK</v>
      </c>
    </row>
    <row r="24" spans="2:6" x14ac:dyDescent="0.35">
      <c r="B24" s="1" t="s">
        <v>127</v>
      </c>
      <c r="C24" s="2">
        <f>n</f>
        <v>150.14285826993242</v>
      </c>
      <c r="E24" t="s">
        <v>128</v>
      </c>
      <c r="F24" s="29" t="str">
        <f>calcs!D17</f>
        <v>OK</v>
      </c>
    </row>
    <row r="26" spans="2:6" hidden="1" x14ac:dyDescent="0.35">
      <c r="B26">
        <f>zpeak</f>
        <v>1000</v>
      </c>
      <c r="C26" s="2">
        <f>calcs!C20</f>
        <v>999.99995484604312</v>
      </c>
      <c r="D26" s="2">
        <f>B26-C26</f>
        <v>4.5153956875765289E-5</v>
      </c>
      <c r="E26" s="13" t="str">
        <f>IF(D26&lt;0.01,"Calculation complete","press cntl-q to solve")</f>
        <v>Calculation complete</v>
      </c>
    </row>
    <row r="27" spans="2:6" x14ac:dyDescent="0.35">
      <c r="B27" s="30" t="s">
        <v>129</v>
      </c>
      <c r="E27" s="19"/>
    </row>
  </sheetData>
  <sheetProtection password="C7BC" sheet="1" objects="1" scenarios="1"/>
  <conditionalFormatting sqref="C23">
    <cfRule type="cellIs" dxfId="1" priority="2" operator="greaterThan">
      <formula>250</formula>
    </cfRule>
  </conditionalFormatting>
  <conditionalFormatting sqref="C24">
    <cfRule type="cellIs" dxfId="0" priority="1" operator="greaterThan">
      <formula>2000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6350</xdr:colOff>
                    <xdr:row>11</xdr:row>
                    <xdr:rowOff>177800</xdr:rowOff>
                  </from>
                  <to>
                    <xdr:col>3</xdr:col>
                    <xdr:colOff>19050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0" tint="-0.34998626667073579"/>
  </sheetPr>
  <dimension ref="B4:E22"/>
  <sheetViews>
    <sheetView showGridLines="0" workbookViewId="0"/>
  </sheetViews>
  <sheetFormatPr defaultRowHeight="14.5" x14ac:dyDescent="0.35"/>
  <sheetData>
    <row r="4" spans="2:5" x14ac:dyDescent="0.35">
      <c r="B4" s="34" t="s">
        <v>69</v>
      </c>
      <c r="C4" s="35"/>
      <c r="D4" s="36"/>
    </row>
    <row r="5" spans="2:5" x14ac:dyDescent="0.35">
      <c r="B5" s="11" t="s">
        <v>28</v>
      </c>
      <c r="C5" s="12">
        <v>1.26</v>
      </c>
      <c r="D5" s="12">
        <v>2.5</v>
      </c>
      <c r="E5" s="21" t="str">
        <f t="shared" ref="E5:E21" si="0">B5</f>
        <v>A</v>
      </c>
    </row>
    <row r="6" spans="2:5" x14ac:dyDescent="0.35">
      <c r="B6" s="11" t="s">
        <v>29</v>
      </c>
      <c r="C6" s="12">
        <v>2.5</v>
      </c>
      <c r="D6" s="12">
        <f t="shared" ref="D6:D21" si="1">2*D5</f>
        <v>5</v>
      </c>
      <c r="E6" s="21" t="str">
        <f t="shared" si="0"/>
        <v>B</v>
      </c>
    </row>
    <row r="7" spans="2:5" x14ac:dyDescent="0.35">
      <c r="B7" s="11" t="s">
        <v>30</v>
      </c>
      <c r="C7" s="12">
        <v>5</v>
      </c>
      <c r="D7" s="12">
        <f t="shared" si="1"/>
        <v>10</v>
      </c>
      <c r="E7" s="21" t="str">
        <f t="shared" si="0"/>
        <v>C</v>
      </c>
    </row>
    <row r="8" spans="2:5" x14ac:dyDescent="0.35">
      <c r="B8" s="11" t="s">
        <v>12</v>
      </c>
      <c r="C8" s="12">
        <v>10</v>
      </c>
      <c r="D8" s="12">
        <f t="shared" si="1"/>
        <v>20</v>
      </c>
      <c r="E8" s="21" t="str">
        <f t="shared" si="0"/>
        <v>D</v>
      </c>
    </row>
    <row r="9" spans="2:5" x14ac:dyDescent="0.35">
      <c r="B9" s="11" t="s">
        <v>31</v>
      </c>
      <c r="C9" s="12">
        <v>20</v>
      </c>
      <c r="D9" s="12">
        <f t="shared" si="1"/>
        <v>40</v>
      </c>
      <c r="E9" s="21" t="str">
        <f t="shared" si="0"/>
        <v>E</v>
      </c>
    </row>
    <row r="10" spans="2:5" x14ac:dyDescent="0.35">
      <c r="B10" s="11" t="s">
        <v>26</v>
      </c>
      <c r="C10" s="12">
        <f t="shared" ref="C10:C21" si="2">2*C9</f>
        <v>40</v>
      </c>
      <c r="D10" s="12">
        <f t="shared" si="1"/>
        <v>80</v>
      </c>
      <c r="E10" s="21" t="str">
        <f t="shared" si="0"/>
        <v>F</v>
      </c>
    </row>
    <row r="11" spans="2:5" x14ac:dyDescent="0.35">
      <c r="B11" s="11" t="s">
        <v>32</v>
      </c>
      <c r="C11" s="12">
        <f t="shared" si="2"/>
        <v>80</v>
      </c>
      <c r="D11" s="12">
        <f t="shared" si="1"/>
        <v>160</v>
      </c>
      <c r="E11" s="21" t="str">
        <f t="shared" si="0"/>
        <v>G</v>
      </c>
    </row>
    <row r="12" spans="2:5" x14ac:dyDescent="0.35">
      <c r="B12" s="11" t="s">
        <v>33</v>
      </c>
      <c r="C12" s="12">
        <f t="shared" si="2"/>
        <v>160</v>
      </c>
      <c r="D12" s="12">
        <f t="shared" si="1"/>
        <v>320</v>
      </c>
      <c r="E12" s="21" t="str">
        <f t="shared" si="0"/>
        <v>H</v>
      </c>
    </row>
    <row r="13" spans="2:5" x14ac:dyDescent="0.35">
      <c r="B13" s="11" t="s">
        <v>8</v>
      </c>
      <c r="C13" s="12">
        <f t="shared" si="2"/>
        <v>320</v>
      </c>
      <c r="D13" s="12">
        <f t="shared" si="1"/>
        <v>640</v>
      </c>
      <c r="E13" s="21" t="str">
        <f t="shared" si="0"/>
        <v>I</v>
      </c>
    </row>
    <row r="14" spans="2:5" x14ac:dyDescent="0.35">
      <c r="B14" s="11" t="s">
        <v>34</v>
      </c>
      <c r="C14" s="12">
        <f t="shared" si="2"/>
        <v>640</v>
      </c>
      <c r="D14" s="12">
        <f t="shared" si="1"/>
        <v>1280</v>
      </c>
      <c r="E14" s="21" t="str">
        <f t="shared" si="0"/>
        <v>J</v>
      </c>
    </row>
    <row r="15" spans="2:5" x14ac:dyDescent="0.35">
      <c r="B15" s="11" t="s">
        <v>15</v>
      </c>
      <c r="C15" s="12">
        <f t="shared" si="2"/>
        <v>1280</v>
      </c>
      <c r="D15" s="12">
        <f t="shared" si="1"/>
        <v>2560</v>
      </c>
      <c r="E15" s="21" t="str">
        <f t="shared" si="0"/>
        <v>K</v>
      </c>
    </row>
    <row r="16" spans="2:5" x14ac:dyDescent="0.35">
      <c r="B16" s="11" t="s">
        <v>35</v>
      </c>
      <c r="C16" s="12">
        <f t="shared" si="2"/>
        <v>2560</v>
      </c>
      <c r="D16" s="12">
        <f t="shared" si="1"/>
        <v>5120</v>
      </c>
      <c r="E16" s="21" t="str">
        <f t="shared" si="0"/>
        <v>L</v>
      </c>
    </row>
    <row r="17" spans="2:5" x14ac:dyDescent="0.35">
      <c r="B17" s="11" t="s">
        <v>36</v>
      </c>
      <c r="C17" s="12">
        <f t="shared" si="2"/>
        <v>5120</v>
      </c>
      <c r="D17" s="12">
        <f t="shared" si="1"/>
        <v>10240</v>
      </c>
      <c r="E17" s="21" t="str">
        <f t="shared" si="0"/>
        <v>M</v>
      </c>
    </row>
    <row r="18" spans="2:5" x14ac:dyDescent="0.35">
      <c r="B18" s="11" t="s">
        <v>1</v>
      </c>
      <c r="C18" s="12">
        <f t="shared" si="2"/>
        <v>10240</v>
      </c>
      <c r="D18" s="12">
        <f t="shared" si="1"/>
        <v>20480</v>
      </c>
      <c r="E18" s="21" t="str">
        <f t="shared" si="0"/>
        <v>N</v>
      </c>
    </row>
    <row r="19" spans="2:5" x14ac:dyDescent="0.35">
      <c r="B19" s="11" t="s">
        <v>37</v>
      </c>
      <c r="C19" s="12">
        <f t="shared" si="2"/>
        <v>20480</v>
      </c>
      <c r="D19" s="12">
        <f t="shared" si="1"/>
        <v>40960</v>
      </c>
      <c r="E19" s="21" t="str">
        <f t="shared" si="0"/>
        <v>O</v>
      </c>
    </row>
    <row r="20" spans="2:5" x14ac:dyDescent="0.35">
      <c r="B20" s="11" t="s">
        <v>38</v>
      </c>
      <c r="C20" s="12">
        <f t="shared" si="2"/>
        <v>40960</v>
      </c>
      <c r="D20" s="12">
        <f t="shared" si="1"/>
        <v>81920</v>
      </c>
      <c r="E20" s="21" t="str">
        <f t="shared" si="0"/>
        <v>P</v>
      </c>
    </row>
    <row r="21" spans="2:5" x14ac:dyDescent="0.35">
      <c r="B21" s="11" t="s">
        <v>39</v>
      </c>
      <c r="C21" s="12">
        <f t="shared" si="2"/>
        <v>81920</v>
      </c>
      <c r="D21" s="12">
        <f t="shared" si="1"/>
        <v>163840</v>
      </c>
      <c r="E21" s="21" t="str">
        <f t="shared" si="0"/>
        <v>Q</v>
      </c>
    </row>
    <row r="22" spans="2:5" x14ac:dyDescent="0.35">
      <c r="E22" s="21"/>
    </row>
  </sheetData>
  <sheetProtection password="C7BC" sheet="1" objects="1" scenarios="1"/>
  <mergeCells count="1">
    <mergeCell ref="B4:D4"/>
  </mergeCell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34998626667073579"/>
  </sheetPr>
  <dimension ref="A7:H29"/>
  <sheetViews>
    <sheetView showGridLines="0" zoomScale="110" zoomScaleNormal="110" workbookViewId="0">
      <selection activeCell="B15" sqref="B15"/>
    </sheetView>
  </sheetViews>
  <sheetFormatPr defaultRowHeight="14.5" x14ac:dyDescent="0.35"/>
  <cols>
    <col min="1" max="1" width="13.453125" customWidth="1"/>
  </cols>
  <sheetData>
    <row r="7" spans="1:8" x14ac:dyDescent="0.35">
      <c r="A7" t="s">
        <v>60</v>
      </c>
    </row>
    <row r="8" spans="1:8" x14ac:dyDescent="0.35">
      <c r="A8" s="14" t="s">
        <v>59</v>
      </c>
    </row>
    <row r="9" spans="1:8" x14ac:dyDescent="0.35">
      <c r="A9" t="s">
        <v>56</v>
      </c>
    </row>
    <row r="10" spans="1:8" x14ac:dyDescent="0.35">
      <c r="A10" s="15"/>
    </row>
    <row r="11" spans="1:8" x14ac:dyDescent="0.35">
      <c r="A11" t="s">
        <v>58</v>
      </c>
    </row>
    <row r="12" spans="1:8" x14ac:dyDescent="0.35">
      <c r="A12" t="s">
        <v>57</v>
      </c>
    </row>
    <row r="15" spans="1:8" x14ac:dyDescent="0.35">
      <c r="A15" s="22" t="s">
        <v>70</v>
      </c>
      <c r="B15">
        <v>331.3</v>
      </c>
      <c r="F15" s="16"/>
      <c r="G15" s="16"/>
      <c r="H15" s="16"/>
    </row>
    <row r="16" spans="1:8" x14ac:dyDescent="0.35">
      <c r="A16" s="22" t="s">
        <v>71</v>
      </c>
      <c r="B16">
        <v>0.60599999999999998</v>
      </c>
      <c r="H16" s="5"/>
    </row>
    <row r="17" spans="1:8" x14ac:dyDescent="0.35">
      <c r="A17" s="22" t="s">
        <v>72</v>
      </c>
      <c r="B17">
        <v>6.49</v>
      </c>
      <c r="C17" t="s">
        <v>74</v>
      </c>
      <c r="G17" s="5"/>
      <c r="H17" s="5"/>
    </row>
    <row r="18" spans="1:8" x14ac:dyDescent="0.35">
      <c r="A18" s="22" t="s">
        <v>73</v>
      </c>
      <c r="B18">
        <v>15</v>
      </c>
      <c r="C18" t="s">
        <v>75</v>
      </c>
      <c r="G18" s="5"/>
      <c r="H18" s="5"/>
    </row>
    <row r="19" spans="1:8" x14ac:dyDescent="0.35">
      <c r="B19" s="5"/>
      <c r="G19" s="5"/>
      <c r="H19" s="5"/>
    </row>
    <row r="20" spans="1:8" x14ac:dyDescent="0.35">
      <c r="G20" s="5"/>
      <c r="H20" s="5"/>
    </row>
    <row r="21" spans="1:8" x14ac:dyDescent="0.35">
      <c r="G21" s="5"/>
      <c r="H21" s="5"/>
    </row>
    <row r="22" spans="1:8" x14ac:dyDescent="0.35">
      <c r="G22" s="5"/>
      <c r="H22" s="5"/>
    </row>
    <row r="23" spans="1:8" x14ac:dyDescent="0.35">
      <c r="G23" s="5"/>
      <c r="H23" s="5"/>
    </row>
    <row r="24" spans="1:8" x14ac:dyDescent="0.35">
      <c r="G24" s="5"/>
      <c r="H24" s="5"/>
    </row>
    <row r="25" spans="1:8" x14ac:dyDescent="0.35">
      <c r="G25" s="5"/>
      <c r="H25" s="5"/>
    </row>
    <row r="26" spans="1:8" x14ac:dyDescent="0.35">
      <c r="A26" s="13"/>
      <c r="G26" s="5"/>
      <c r="H26" s="5"/>
    </row>
    <row r="27" spans="1:8" x14ac:dyDescent="0.35">
      <c r="A27" s="1"/>
      <c r="C27" s="9"/>
    </row>
    <row r="28" spans="1:8" x14ac:dyDescent="0.35">
      <c r="A28" s="1"/>
      <c r="C28" s="10"/>
    </row>
    <row r="29" spans="1:8" x14ac:dyDescent="0.35">
      <c r="A29" s="1"/>
      <c r="C29" s="10"/>
    </row>
  </sheetData>
  <sheetProtection password="C7BC" sheet="1" objects="1" scenarios="1"/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0" tint="-0.34998626667073579"/>
  </sheetPr>
  <dimension ref="B2:N74"/>
  <sheetViews>
    <sheetView showGridLines="0" topLeftCell="A4" zoomScale="99" zoomScaleNormal="99" workbookViewId="0"/>
  </sheetViews>
  <sheetFormatPr defaultRowHeight="14.5" x14ac:dyDescent="0.35"/>
  <cols>
    <col min="11" max="11" width="11.1796875" customWidth="1"/>
    <col min="14" max="14" width="11.81640625" customWidth="1"/>
  </cols>
  <sheetData>
    <row r="2" spans="2:7" x14ac:dyDescent="0.35">
      <c r="B2" t="s">
        <v>76</v>
      </c>
    </row>
    <row r="3" spans="2:7" x14ac:dyDescent="0.35">
      <c r="B3" t="s">
        <v>22</v>
      </c>
    </row>
    <row r="4" spans="2:7" x14ac:dyDescent="0.35">
      <c r="B4" t="s">
        <v>23</v>
      </c>
      <c r="C4" s="3">
        <v>0.99941210457880503</v>
      </c>
    </row>
    <row r="5" spans="2:7" x14ac:dyDescent="0.35">
      <c r="B5" t="s">
        <v>24</v>
      </c>
      <c r="C5" s="2">
        <v>440</v>
      </c>
    </row>
    <row r="6" spans="2:7" x14ac:dyDescent="0.35">
      <c r="B6" t="s">
        <v>25</v>
      </c>
      <c r="C6" s="3">
        <v>1.5</v>
      </c>
    </row>
    <row r="7" spans="2:7" x14ac:dyDescent="0.35">
      <c r="B7" s="1"/>
      <c r="C7" s="1"/>
      <c r="D7" s="1"/>
      <c r="E7" s="1"/>
      <c r="F7" s="1"/>
      <c r="G7" s="1"/>
    </row>
    <row r="8" spans="2:7" x14ac:dyDescent="0.35">
      <c r="D8" s="4"/>
      <c r="E8" s="4"/>
      <c r="F8" s="4"/>
      <c r="G8" s="4"/>
    </row>
    <row r="9" spans="2:7" x14ac:dyDescent="0.35">
      <c r="B9" s="1" t="s">
        <v>9</v>
      </c>
      <c r="C9">
        <f>md*((ratio/100)/2+1)</f>
        <v>7.0685999999999991</v>
      </c>
      <c r="D9" t="s">
        <v>2</v>
      </c>
      <c r="E9" s="4"/>
      <c r="F9" s="4"/>
      <c r="G9" s="4"/>
    </row>
    <row r="10" spans="2:7" x14ac:dyDescent="0.35">
      <c r="B10" s="1" t="s">
        <v>10</v>
      </c>
      <c r="C10">
        <v>9.8605999999999998</v>
      </c>
      <c r="D10" t="s">
        <v>20</v>
      </c>
      <c r="E10" s="4"/>
      <c r="F10" s="4"/>
      <c r="G10" s="4"/>
    </row>
    <row r="11" spans="2:7" x14ac:dyDescent="0.35">
      <c r="B11" s="1" t="s">
        <v>15</v>
      </c>
      <c r="C11">
        <f>cd*dia^2/1000/md</f>
        <v>6.1404613636363622E-3</v>
      </c>
      <c r="E11" s="4"/>
      <c r="F11" s="4"/>
      <c r="G11" s="4"/>
    </row>
    <row r="12" spans="2:7" x14ac:dyDescent="0.35">
      <c r="B12" s="1" t="s">
        <v>16</v>
      </c>
      <c r="C12" s="5">
        <f>imp/mavg-g*tim</f>
        <v>156.36942460684671</v>
      </c>
      <c r="D12" t="s">
        <v>21</v>
      </c>
    </row>
    <row r="13" spans="2:7" x14ac:dyDescent="0.35">
      <c r="B13" s="1" t="s">
        <v>63</v>
      </c>
      <c r="C13" s="4">
        <f>(C22*n+1)</f>
        <v>0.9887392856297551</v>
      </c>
    </row>
    <row r="14" spans="2:7" x14ac:dyDescent="0.35">
      <c r="B14" s="1" t="s">
        <v>7</v>
      </c>
      <c r="C14" s="2">
        <f>atmosphere!$B$15+atmosphere!$B$16*(atmosphere!$B$18-atmosphere!$B$17/1000*zed1)</f>
        <v>340.0825042175934</v>
      </c>
      <c r="D14" t="s">
        <v>21</v>
      </c>
    </row>
    <row r="15" spans="2:7" x14ac:dyDescent="0.35">
      <c r="B15" s="1" t="s">
        <v>17</v>
      </c>
      <c r="C15" s="5">
        <f>1/2*tim*(imp/mavg-g*tim)</f>
        <v>78.184712303423353</v>
      </c>
      <c r="D15" t="s">
        <v>3</v>
      </c>
    </row>
    <row r="16" spans="2:7" x14ac:dyDescent="0.35">
      <c r="B16" s="1" t="s">
        <v>64</v>
      </c>
      <c r="C16" s="4">
        <f>(C23*n+1)</f>
        <v>0.99343124995069043</v>
      </c>
    </row>
    <row r="17" spans="2:14" x14ac:dyDescent="0.35">
      <c r="B17" s="27" t="s">
        <v>1</v>
      </c>
      <c r="C17" s="28">
        <f>k*velo1^2</f>
        <v>150.14285826993242</v>
      </c>
      <c r="D17" s="20" t="str">
        <f>IF(n&gt;2000,"Warning, results may not be reliable","OK")</f>
        <v>OK</v>
      </c>
    </row>
    <row r="18" spans="2:14" x14ac:dyDescent="0.35">
      <c r="B18" s="1" t="s">
        <v>6</v>
      </c>
      <c r="C18" s="4">
        <f>hdq*(1+hdb*n/hda)^(-1/hdb)</f>
        <v>0.7587033655867107</v>
      </c>
    </row>
    <row r="19" spans="2:14" x14ac:dyDescent="0.35">
      <c r="B19" s="1" t="s">
        <v>18</v>
      </c>
      <c r="C19" s="5">
        <f>1/2*imp/mavg/g*(imp/mavg-g*tim)</f>
        <v>1318.0381163496436</v>
      </c>
      <c r="D19" t="s">
        <v>3</v>
      </c>
    </row>
    <row r="20" spans="2:14" x14ac:dyDescent="0.35">
      <c r="B20" s="1" t="s">
        <v>14</v>
      </c>
      <c r="C20" s="2">
        <f>fz*zed2</f>
        <v>999.99995484604312</v>
      </c>
      <c r="D20" t="s">
        <v>3</v>
      </c>
    </row>
    <row r="21" spans="2:14" x14ac:dyDescent="0.35">
      <c r="B21" s="1" t="s">
        <v>8</v>
      </c>
      <c r="C21" s="2">
        <v>335.45873761097459</v>
      </c>
      <c r="D21" t="s">
        <v>5</v>
      </c>
      <c r="E21" s="5"/>
    </row>
    <row r="22" spans="2:14" x14ac:dyDescent="0.35">
      <c r="B22" s="1" t="s">
        <v>131</v>
      </c>
      <c r="C22" s="17">
        <v>-7.4999999999999993E-5</v>
      </c>
    </row>
    <row r="23" spans="2:14" x14ac:dyDescent="0.35">
      <c r="B23" s="1" t="s">
        <v>132</v>
      </c>
      <c r="C23" s="17">
        <v>-4.375E-5</v>
      </c>
    </row>
    <row r="31" spans="2:14" ht="15.5" x14ac:dyDescent="0.35">
      <c r="K31" s="7"/>
      <c r="N31" s="6"/>
    </row>
    <row r="32" spans="2:14" ht="15.5" x14ac:dyDescent="0.35">
      <c r="K32" s="7"/>
      <c r="N32" s="7"/>
    </row>
    <row r="33" spans="2:14" ht="15.5" x14ac:dyDescent="0.35">
      <c r="B33" s="1"/>
      <c r="C33" s="1"/>
      <c r="K33" s="7"/>
      <c r="N33" s="7"/>
    </row>
    <row r="34" spans="2:14" ht="15.5" x14ac:dyDescent="0.35">
      <c r="N34" s="7"/>
    </row>
    <row r="37" spans="2:14" x14ac:dyDescent="0.35">
      <c r="B37" s="1"/>
      <c r="C37" s="1"/>
    </row>
    <row r="56" spans="4:4" x14ac:dyDescent="0.35">
      <c r="D56" s="17"/>
    </row>
    <row r="74" spans="4:4" x14ac:dyDescent="0.35">
      <c r="D74" s="17"/>
    </row>
  </sheetData>
  <sheetProtection password="C7BC" sheet="1" objects="1" scenarios="1"/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Read Me</vt:lpstr>
      <vt:lpstr>IMPULSE</vt:lpstr>
      <vt:lpstr>Class</vt:lpstr>
      <vt:lpstr>atmosphere</vt:lpstr>
      <vt:lpstr>calcs</vt:lpstr>
      <vt:lpstr>cd</vt:lpstr>
      <vt:lpstr>coa</vt:lpstr>
      <vt:lpstr>cob</vt:lpstr>
      <vt:lpstr>coc</vt:lpstr>
      <vt:lpstr>cod</vt:lpstr>
      <vt:lpstr>dia</vt:lpstr>
      <vt:lpstr>fz</vt:lpstr>
      <vt:lpstr>g</vt:lpstr>
      <vt:lpstr>hda</vt:lpstr>
      <vt:lpstr>hdb</vt:lpstr>
      <vt:lpstr>hdq</vt:lpstr>
      <vt:lpstr>imp</vt:lpstr>
      <vt:lpstr>itable</vt:lpstr>
      <vt:lpstr>k</vt:lpstr>
      <vt:lpstr>mavg</vt:lpstr>
      <vt:lpstr>md</vt:lpstr>
      <vt:lpstr>n</vt:lpstr>
      <vt:lpstr>ratio</vt:lpstr>
      <vt:lpstr>tim</vt:lpstr>
      <vt:lpstr>velo1</vt:lpstr>
      <vt:lpstr>zed1</vt:lpstr>
      <vt:lpstr>zed2</vt:lpstr>
      <vt:lpstr>zpeak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Nakka, Richard</dc:creator>
  <cp:lastModifiedBy>JUAN LEONARDO VALADEZ ORTIZ</cp:lastModifiedBy>
  <dcterms:created xsi:type="dcterms:W3CDTF">2021-01-19T15:09:23Z</dcterms:created>
  <dcterms:modified xsi:type="dcterms:W3CDTF">2025-09-08T06:37:11Z</dcterms:modified>
</cp:coreProperties>
</file>