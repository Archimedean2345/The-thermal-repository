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thermcas\"/>
    </mc:Choice>
  </mc:AlternateContent>
  <xr:revisionPtr revIDLastSave="0" documentId="13_ncr:1_{002BA275-E368-4ADB-889E-AED722B13C7B}" xr6:coauthVersionLast="47" xr6:coauthVersionMax="47" xr10:uidLastSave="{00000000-0000-0000-0000-000000000000}"/>
  <bookViews>
    <workbookView xWindow="-110" yWindow="-110" windowWidth="19420" windowHeight="11500" xr2:uid="{ED88B935-E219-41CE-98B8-427D092F9FC1}"/>
  </bookViews>
  <sheets>
    <sheet name="Intro" sheetId="1" r:id="rId1"/>
    <sheet name="Plotting" sheetId="2" r:id="rId2"/>
    <sheet name="Properties" sheetId="3" r:id="rId3"/>
    <sheet name="Convection Coef." sheetId="4" r:id="rId4"/>
    <sheet name="Revisions" sheetId="5" r:id="rId5"/>
    <sheet name="Module1" sheetId="6" state="veryHidden" r:id=""/>
  </sheets>
  <definedNames>
    <definedName name="cp">'Convection Coef.'!$H$41</definedName>
    <definedName name="cpm">'Convection Coef.'!$C$49</definedName>
    <definedName name="di">'Convection Coef.'!$H$45</definedName>
    <definedName name="dim">'Convection Coef.'!$C$52</definedName>
    <definedName name="diol">'Convection Coef.'!$H$49</definedName>
    <definedName name="g">'Convection Coef.'!$H$48</definedName>
    <definedName name="hm_e">'Convection Coef.'!$H$50</definedName>
    <definedName name="k">'Convection Coef.'!$C$56</definedName>
    <definedName name="l">'Convection Coef.'!$H$46</definedName>
    <definedName name="m">'Convection Coef.'!$P$50</definedName>
    <definedName name="muf">'Convection Coef.'!$H$54</definedName>
    <definedName name="mum">'Convection Coef.'!$C$54</definedName>
    <definedName name="n">'Convection Coef.'!$P$51</definedName>
    <definedName name="nu">'Convection Coef.'!$C$55</definedName>
    <definedName name="pr">'Convection Coef.'!$P$42</definedName>
    <definedName name="re">'Convection Coef.'!$P$48</definedName>
    <definedName name="s">'Convection Coef.'!$H$47</definedName>
    <definedName name="tb">'Convection Coef.'!$H$43</definedName>
    <definedName name="tbm">'Convection Coef.'!$C$51</definedName>
    <definedName name="w">'Convection Coef.'!$H$44</definedName>
    <definedName name="wp">'Convection Coef.'!$H$42</definedName>
    <definedName name="wpm">'Convection Coef.'!$C$50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1" i="3" l="1"/>
  <c r="M21" i="3"/>
  <c r="B36" i="3"/>
  <c r="J67" i="4"/>
  <c r="J68" i="4"/>
  <c r="J69" i="4"/>
  <c r="H42" i="4"/>
  <c r="H43" i="4"/>
  <c r="H45" i="4"/>
  <c r="H54" i="4"/>
  <c r="H41" i="4"/>
  <c r="H46" i="4"/>
  <c r="J42" i="2"/>
  <c r="L42" i="2"/>
  <c r="J41" i="2"/>
  <c r="L41" i="2" s="1"/>
  <c r="J40" i="2"/>
  <c r="L40" i="2" s="1"/>
  <c r="J39" i="2"/>
  <c r="J38" i="2"/>
  <c r="L38" i="2" s="1"/>
  <c r="J37" i="2"/>
  <c r="L37" i="2"/>
  <c r="J36" i="2"/>
  <c r="L36" i="2" s="1"/>
  <c r="J35" i="2"/>
  <c r="L35" i="2"/>
  <c r="J34" i="2"/>
  <c r="L34" i="2" s="1"/>
  <c r="J33" i="2"/>
  <c r="L33" i="2" s="1"/>
  <c r="J32" i="2"/>
  <c r="L32" i="2" s="1"/>
  <c r="J31" i="2"/>
  <c r="L31" i="2"/>
  <c r="X21" i="3"/>
  <c r="V21" i="3"/>
  <c r="S21" i="3"/>
  <c r="D40" i="3"/>
  <c r="D39" i="3"/>
  <c r="D38" i="3"/>
  <c r="D36" i="3"/>
  <c r="D35" i="3"/>
  <c r="D34" i="3"/>
  <c r="Q21" i="3"/>
  <c r="P21" i="3"/>
  <c r="O21" i="3"/>
  <c r="N21" i="3"/>
  <c r="L21" i="3"/>
  <c r="K21" i="3"/>
  <c r="J21" i="3"/>
  <c r="I21" i="3"/>
  <c r="H21" i="3"/>
  <c r="G9" i="3"/>
  <c r="G21" i="3"/>
  <c r="F9" i="3"/>
  <c r="F21" i="3" s="1"/>
  <c r="K7" i="3"/>
  <c r="J7" i="3"/>
  <c r="Q7" i="3"/>
  <c r="N7" i="3"/>
  <c r="E20" i="3"/>
  <c r="E19" i="3"/>
  <c r="I7" i="3"/>
  <c r="E18" i="3"/>
  <c r="E17" i="3"/>
  <c r="E16" i="3"/>
  <c r="E12" i="3"/>
  <c r="E11" i="3"/>
  <c r="E10" i="3"/>
  <c r="G7" i="3"/>
  <c r="F7" i="3"/>
  <c r="H49" i="4" l="1"/>
  <c r="H44" i="4"/>
  <c r="L39" i="2"/>
  <c r="H47" i="4"/>
  <c r="H48" i="4" l="1"/>
  <c r="H50" i="4"/>
  <c r="H51" i="4" s="1"/>
  <c r="H57" i="4"/>
  <c r="I57" i="4" l="1"/>
  <c r="J57" i="4"/>
</calcChain>
</file>

<file path=xl/sharedStrings.xml><?xml version="1.0" encoding="utf-8"?>
<sst xmlns="http://schemas.openxmlformats.org/spreadsheetml/2006/main" count="310" uniqueCount="263">
  <si>
    <t>Motor Casing Thermal Analysis for Amateur Rockets</t>
  </si>
  <si>
    <t>by R.A.Nakka</t>
  </si>
  <si>
    <t>Note: Contents of this spreadsheet are password protected to maintain the integrity of the original file.</t>
  </si>
  <si>
    <t>For free distribution</t>
  </si>
  <si>
    <t>Introduction</t>
  </si>
  <si>
    <t>This spreadsheet is meant to be used in conjunction with the DOS executable program THERMCAS.EXE.</t>
  </si>
  <si>
    <r>
      <t xml:space="preserve">The purpose of the THERMCAS program is to calculate the </t>
    </r>
    <r>
      <rPr>
        <b/>
        <sz val="10"/>
        <rFont val="Arial"/>
        <family val="2"/>
      </rPr>
      <t>temperature distribution through the thickness</t>
    </r>
  </si>
  <si>
    <r>
      <t>of a rocket motor casing wall</t>
    </r>
    <r>
      <rPr>
        <sz val="10"/>
        <rFont val="Arial"/>
      </rPr>
      <t xml:space="preserve">. The casing may be </t>
    </r>
    <r>
      <rPr>
        <b/>
        <sz val="10"/>
        <rFont val="Arial"/>
        <family val="2"/>
      </rPr>
      <t>insulated</t>
    </r>
    <r>
      <rPr>
        <sz val="10"/>
        <rFont val="Arial"/>
      </rPr>
      <t xml:space="preserve"> or </t>
    </r>
    <r>
      <rPr>
        <b/>
        <sz val="10"/>
        <rFont val="Arial"/>
        <family val="2"/>
      </rPr>
      <t>non-insulated</t>
    </r>
    <r>
      <rPr>
        <sz val="10"/>
        <rFont val="Arial"/>
      </rPr>
      <t>, as specified by the user.</t>
    </r>
  </si>
  <si>
    <r>
      <t xml:space="preserve">The analysis technique utilized by this program is similar to the Schmidt method, detailed in </t>
    </r>
    <r>
      <rPr>
        <u/>
        <sz val="10"/>
        <rFont val="Arial"/>
        <family val="2"/>
      </rPr>
      <t>Rocket Propulsion</t>
    </r>
  </si>
  <si>
    <r>
      <t>Elements</t>
    </r>
    <r>
      <rPr>
        <sz val="10"/>
        <rFont val="Arial"/>
        <family val="2"/>
      </rPr>
      <t xml:space="preserve"> (G.Sutton), 4</t>
    </r>
    <r>
      <rPr>
        <vertAlign val="superscript"/>
        <sz val="10"/>
        <rFont val="Arial"/>
        <family val="2"/>
      </rPr>
      <t>th</t>
    </r>
    <r>
      <rPr>
        <sz val="10"/>
        <rFont val="Arial"/>
        <family val="2"/>
      </rPr>
      <t xml:space="preserve"> ed.</t>
    </r>
  </si>
  <si>
    <t>Heating of the casing wall occurs during combustion and is primarily due to convective heat transfer.</t>
  </si>
  <si>
    <t>The program requires as part of the input various properties associated with the combustion and flow</t>
  </si>
  <si>
    <r>
      <t xml:space="preserve">process. Specifically, the </t>
    </r>
    <r>
      <rPr>
        <b/>
        <sz val="10"/>
        <rFont val="Arial"/>
        <family val="2"/>
      </rPr>
      <t>convection coefficient</t>
    </r>
    <r>
      <rPr>
        <sz val="10"/>
        <rFont val="Arial"/>
      </rPr>
      <t xml:space="preserve"> may be calculated using this spreadsheet for input into</t>
    </r>
  </si>
  <si>
    <t>the THERMCAS program.</t>
  </si>
  <si>
    <r>
      <t>Thermal properties</t>
    </r>
    <r>
      <rPr>
        <sz val="10"/>
        <rFont val="Arial"/>
      </rPr>
      <t xml:space="preserve"> of the material used for both the casing and the insulation are required as input data.</t>
    </r>
  </si>
  <si>
    <t>These properties are provided in this spreadsheet for some of the more common materials that may</t>
  </si>
  <si>
    <t>be used for this purpose.</t>
  </si>
  <si>
    <r>
      <t>Output</t>
    </r>
    <r>
      <rPr>
        <sz val="10"/>
        <rFont val="Arial"/>
      </rPr>
      <t xml:space="preserve"> of the THERMCAS program is in the form of a text file (THERM.OUT), in the form of a matrix</t>
    </r>
  </si>
  <si>
    <t>indicating the temperature at 11 "nodes" through the thickness of the casing wall. Since the heating</t>
  </si>
  <si>
    <t>process is a transient one, this temperature profile is given at various time increments, based upon</t>
  </si>
  <si>
    <t>the total analysis time duration specified by the user. For convenience and for visual aid in interpreting</t>
  </si>
  <si>
    <t>the output, the contents of the output file may be easily plotted in this spreadsheet. This is accomplished</t>
  </si>
  <si>
    <t>by opening the output file in EXCEL and performing a simple "copy and paste" of the output data into</t>
  </si>
  <si>
    <t>the specified range of cells.</t>
  </si>
  <si>
    <t>Important notes:</t>
  </si>
  <si>
    <r>
      <t xml:space="preserve">1) When using THERMCAS to calculate wall temperatures in a </t>
    </r>
    <r>
      <rPr>
        <b/>
        <sz val="10"/>
        <rFont val="Arial"/>
        <family val="2"/>
      </rPr>
      <t>material with a low thermal conductivity</t>
    </r>
    <r>
      <rPr>
        <sz val="10"/>
        <rFont val="Arial"/>
      </rPr>
      <t xml:space="preserve">, </t>
    </r>
  </si>
  <si>
    <t>and a thick wall, the program may not run successfully. The reason is that the temperature gradient</t>
  </si>
  <si>
    <r>
      <t xml:space="preserve">through the full wall thickness is very large. This problem can be overcome by </t>
    </r>
    <r>
      <rPr>
        <b/>
        <sz val="10"/>
        <rFont val="Arial"/>
        <family val="2"/>
      </rPr>
      <t>specifying a reduced</t>
    </r>
  </si>
  <si>
    <r>
      <t>thickness.</t>
    </r>
    <r>
      <rPr>
        <sz val="10"/>
        <rFont val="Arial"/>
      </rPr>
      <t xml:space="preserve"> For example, if the material is PVC with a wall thickness of 7 mm, try using a value of</t>
    </r>
  </si>
  <si>
    <t>2 mm for the material thickness. If required, the temperature in the remaining thickness can be</t>
  </si>
  <si>
    <t>estimated by extrapolation.</t>
  </si>
  <si>
    <t>2) The thickness of the insulation, specified by the user, is "idealized" by the program, and may not match</t>
  </si>
  <si>
    <t>exactly the specified value. This is due to the process whereby the material is divided into finite</t>
  </si>
  <si>
    <t>thickness "slabs" by the analysis routine, the number of which is rounded to the nearest integer.</t>
  </si>
  <si>
    <t>For reference, the idealized thickness is printed to the screen during execution of the program.</t>
  </si>
  <si>
    <r>
      <t xml:space="preserve">3) Generally, this program was written to cater to short burn times. However, </t>
    </r>
    <r>
      <rPr>
        <b/>
        <sz val="10"/>
        <rFont val="Arial"/>
        <family val="2"/>
      </rPr>
      <t>longer duration analyses</t>
    </r>
  </si>
  <si>
    <t>may be performed by running the program more than once, using a sequence of shorter duration steps.</t>
  </si>
  <si>
    <r>
      <t xml:space="preserve">To facilitate this, the user is allowed to specify the </t>
    </r>
    <r>
      <rPr>
        <i/>
        <sz val="10"/>
        <rFont val="Arial"/>
        <family val="2"/>
      </rPr>
      <t>starting time</t>
    </r>
    <r>
      <rPr>
        <sz val="10"/>
        <rFont val="Arial"/>
      </rPr>
      <t xml:space="preserve"> associated with each analysis step, as</t>
    </r>
  </si>
  <si>
    <r>
      <t xml:space="preserve">well as the </t>
    </r>
    <r>
      <rPr>
        <i/>
        <sz val="10"/>
        <rFont val="Arial"/>
        <family val="2"/>
      </rPr>
      <t>initial temperature</t>
    </r>
    <r>
      <rPr>
        <sz val="10"/>
        <rFont val="Arial"/>
      </rPr>
      <t xml:space="preserve"> of the casing. For example,  an analysis totalling 5 seconds may be </t>
    </r>
  </si>
  <si>
    <t>accomplished by running THERMCAS five times, each of 1 second duration. After each run, the wall</t>
  </si>
  <si>
    <t>temperature of the previous run is input as the initial wall temperature.</t>
  </si>
  <si>
    <t>Paste</t>
  </si>
  <si>
    <t>TIME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</si>
  <si>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</si>
  <si>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</si>
  <si>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</si>
  <si>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</si>
  <si>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</si>
  <si>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</si>
  <si>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</si>
  <si>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</si>
  <si>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</si>
  <si>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</si>
  <si>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</si>
  <si>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output</t>
  </si>
  <si>
    <t xml:space="preserve">into </t>
  </si>
  <si>
    <t>box ==&gt;</t>
  </si>
  <si>
    <t>(12 data</t>
  </si>
  <si>
    <t>lines)</t>
  </si>
  <si>
    <t>Units of temperature are degrees C. or F. , as applicable.</t>
  </si>
  <si>
    <t>Time (sec.)</t>
  </si>
  <si>
    <r>
      <t>D</t>
    </r>
    <r>
      <rPr>
        <sz val="10"/>
        <rFont val="Arial"/>
      </rPr>
      <t xml:space="preserve"> time</t>
    </r>
  </si>
  <si>
    <r>
      <t>t</t>
    </r>
    <r>
      <rPr>
        <sz val="8"/>
        <rFont val="Arial"/>
        <family val="2"/>
      </rPr>
      <t xml:space="preserve"> </t>
    </r>
    <r>
      <rPr>
        <sz val="7"/>
        <rFont val="Arial"/>
        <family val="2"/>
      </rPr>
      <t>FINAL</t>
    </r>
  </si>
  <si>
    <r>
      <t>t</t>
    </r>
    <r>
      <rPr>
        <sz val="8"/>
        <rFont val="Arial"/>
        <family val="2"/>
      </rPr>
      <t xml:space="preserve"> </t>
    </r>
    <r>
      <rPr>
        <sz val="7"/>
        <rFont val="Arial"/>
        <family val="2"/>
      </rPr>
      <t>INITIAL</t>
    </r>
  </si>
  <si>
    <t>Thermal Properties of Various Materials</t>
  </si>
  <si>
    <t>Aluminum</t>
  </si>
  <si>
    <t>Brass</t>
  </si>
  <si>
    <t>Mild steel</t>
  </si>
  <si>
    <t>Alloy steel</t>
  </si>
  <si>
    <t>Stain.steel</t>
  </si>
  <si>
    <t>Epoxy/</t>
  </si>
  <si>
    <t>Paper</t>
  </si>
  <si>
    <t>Rubber</t>
  </si>
  <si>
    <t>PVC</t>
  </si>
  <si>
    <t>Polyester</t>
  </si>
  <si>
    <t>Dow Corning</t>
  </si>
  <si>
    <t>Titanium</t>
  </si>
  <si>
    <t>Property at</t>
  </si>
  <si>
    <t>pure</t>
  </si>
  <si>
    <t>2024-TXX</t>
  </si>
  <si>
    <t>6061-T6</t>
  </si>
  <si>
    <t>70Cu/30Zn</t>
  </si>
  <si>
    <t>AISI 1010</t>
  </si>
  <si>
    <t>AISI 304</t>
  </si>
  <si>
    <t>graphite</t>
  </si>
  <si>
    <t>hard vulc.</t>
  </si>
  <si>
    <t>93-104</t>
  </si>
  <si>
    <t>Phenolic</t>
  </si>
  <si>
    <t>Ti-6Al-4V</t>
  </si>
  <si>
    <t>Property</t>
  </si>
  <si>
    <t>Symbol</t>
  </si>
  <si>
    <t>Units</t>
  </si>
  <si>
    <t>temp. (C.)</t>
  </si>
  <si>
    <t>[1]</t>
  </si>
  <si>
    <t>[4]</t>
  </si>
  <si>
    <t>[1] [7]</t>
  </si>
  <si>
    <t>[1] [3]</t>
  </si>
  <si>
    <t>[5] [6]</t>
  </si>
  <si>
    <t xml:space="preserve"> [4]</t>
  </si>
  <si>
    <t>[8]</t>
  </si>
  <si>
    <t>[9]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</si>
  <si>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</si>
  <si>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</si>
  <si>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</si>
  <si>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-</t>
  </si>
  <si>
    <t>Density</t>
  </si>
  <si>
    <t>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</si>
  <si>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</si>
  <si>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t>Specific heat</t>
  </si>
  <si>
    <r>
      <t>C</t>
    </r>
    <r>
      <rPr>
        <sz val="8"/>
        <color indexed="12"/>
        <rFont val="Arial"/>
        <family val="2"/>
      </rPr>
      <t>s</t>
    </r>
  </si>
  <si>
    <t>J/g-K</t>
  </si>
  <si>
    <t>Conductivity:</t>
  </si>
  <si>
    <t>k</t>
  </si>
  <si>
    <t>W/m-K</t>
  </si>
  <si>
    <t>Diffusivity</t>
  </si>
  <si>
    <t>a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</si>
  <si>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</si>
  <si>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Notes:</t>
  </si>
  <si>
    <t>Ref. F.P.Incropera/D.deWitt, "Fundamentals of Heat Transfer", Wiley Publ.</t>
  </si>
  <si>
    <t>[2]</t>
  </si>
  <si>
    <t>1%&lt;Mn&lt;1.65%, 0.1%&lt;Si&lt;0.6%</t>
  </si>
  <si>
    <t>The above table has a lot of</t>
  </si>
  <si>
    <t>[3]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</si>
  <si>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</si>
  <si>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</si>
  <si>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</si>
  <si>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</si>
  <si>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</si>
  <si>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</si>
  <si>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</si>
  <si>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</si>
  <si>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</si>
  <si>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</si>
  <si>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</si>
  <si>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</si>
  <si>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</si>
  <si>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</si>
  <si>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</si>
  <si>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</si>
  <si>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Conversions:</t>
  </si>
  <si>
    <t>lb/in3</t>
  </si>
  <si>
    <r>
      <t>g/cm</t>
    </r>
    <r>
      <rPr>
        <vertAlign val="superscript"/>
        <sz val="10"/>
        <rFont val="Arial"/>
        <family val="2"/>
      </rPr>
      <t>3</t>
    </r>
  </si>
  <si>
    <t>BTU/lb-F</t>
  </si>
  <si>
    <t xml:space="preserve"> J/g-K</t>
  </si>
  <si>
    <t xml:space="preserve">BTU/hr-ft-F </t>
  </si>
  <si>
    <t>Determination of the Convective Heat Transfer Coefficient</t>
  </si>
  <si>
    <r>
      <t xml:space="preserve">The </t>
    </r>
    <r>
      <rPr>
        <b/>
        <i/>
        <sz val="10"/>
        <rFont val="Arial"/>
        <family val="2"/>
      </rPr>
      <t>convective heat transfer coefficient, h</t>
    </r>
    <r>
      <rPr>
        <i/>
        <sz val="10"/>
        <rFont val="Arial"/>
        <family val="2"/>
      </rPr>
      <t xml:space="preserve">, </t>
    </r>
    <r>
      <rPr>
        <sz val="10"/>
        <rFont val="Arial"/>
      </rPr>
      <t>relates the amount of heat transferred between a</t>
    </r>
  </si>
  <si>
    <t>moving bulk fluid (liquid or gas) and a bounding surface. The moving fluid itself offers no resistance</t>
  </si>
  <si>
    <t>to heat transmission, rather, a thin film of fluid adjacent to the wall offers resistance. Therefore,</t>
  </si>
  <si>
    <r>
      <t xml:space="preserve">the convective coefficient is also refered to as the </t>
    </r>
    <r>
      <rPr>
        <i/>
        <sz val="10"/>
        <rFont val="Arial"/>
        <family val="2"/>
      </rPr>
      <t>film coefficient.</t>
    </r>
  </si>
  <si>
    <t xml:space="preserve">The important physical properties of the fluid which affect the film coefficient are thermal </t>
  </si>
  <si>
    <t>conductivity, viscocity, density, and specific heat of the fluid. Other parameters that affect</t>
  </si>
  <si>
    <t>the coefficient are the fluid velocity, geometry of the bounding surface, and pressure (which</t>
  </si>
  <si>
    <t>affects the fluid density).</t>
  </si>
  <si>
    <t>In order to estimate this coefficient for conditions within a rocket motor, the casing may be</t>
  </si>
  <si>
    <r>
      <t xml:space="preserve">considered to be a </t>
    </r>
    <r>
      <rPr>
        <i/>
        <sz val="10"/>
        <rFont val="Arial"/>
        <family val="2"/>
      </rPr>
      <t>smooth tube with conditions of turbulent flow</t>
    </r>
    <r>
      <rPr>
        <sz val="10"/>
        <rFont val="Arial"/>
      </rPr>
      <t>. The following equation</t>
    </r>
  </si>
  <si>
    <t>is usually employed for these conditions:</t>
  </si>
  <si>
    <t>where</t>
  </si>
  <si>
    <r>
      <t xml:space="preserve">where </t>
    </r>
    <r>
      <rPr>
        <i/>
        <sz val="10"/>
        <rFont val="Arial"/>
        <family val="2"/>
      </rPr>
      <t>Re</t>
    </r>
    <r>
      <rPr>
        <sz val="10"/>
        <rFont val="Arial"/>
      </rPr>
      <t xml:space="preserve"> is the </t>
    </r>
    <r>
      <rPr>
        <i/>
        <sz val="10"/>
        <rFont val="Arial"/>
        <family val="2"/>
      </rPr>
      <t>Reynolds number</t>
    </r>
    <r>
      <rPr>
        <sz val="10"/>
        <rFont val="Arial"/>
      </rPr>
      <t xml:space="preserve"> and </t>
    </r>
    <r>
      <rPr>
        <i/>
        <sz val="10"/>
        <rFont val="Arial"/>
        <family val="2"/>
      </rPr>
      <t>Pr</t>
    </r>
    <r>
      <rPr>
        <sz val="10"/>
        <rFont val="Arial"/>
      </rPr>
      <t xml:space="preserve"> is the </t>
    </r>
    <r>
      <rPr>
        <i/>
        <sz val="10"/>
        <rFont val="Arial"/>
        <family val="2"/>
      </rPr>
      <t>Prandtl number.</t>
    </r>
    <r>
      <rPr>
        <sz val="10"/>
        <rFont val="Arial"/>
      </rPr>
      <t xml:space="preserve"> This equation is valid for</t>
    </r>
  </si>
  <si>
    <r>
      <t>2300 &lt; Re &lt; 10</t>
    </r>
    <r>
      <rPr>
        <vertAlign val="superscript"/>
        <sz val="10"/>
        <rFont val="Arial"/>
        <family val="2"/>
      </rPr>
      <t>6</t>
    </r>
    <r>
      <rPr>
        <sz val="10"/>
        <rFont val="Arial"/>
      </rPr>
      <t xml:space="preserve"> and  0.6 &lt; Pr &lt; 500.</t>
    </r>
  </si>
  <si>
    <r>
      <t>In this equation, C</t>
    </r>
    <r>
      <rPr>
        <sz val="8"/>
        <rFont val="Arial"/>
        <family val="2"/>
      </rPr>
      <t>p</t>
    </r>
    <r>
      <rPr>
        <sz val="10"/>
        <rFont val="Arial"/>
      </rPr>
      <t xml:space="preserve">, </t>
    </r>
    <r>
      <rPr>
        <sz val="10"/>
        <rFont val="Symbol"/>
        <family val="1"/>
        <charset val="2"/>
      </rPr>
      <t>m</t>
    </r>
    <r>
      <rPr>
        <sz val="10"/>
        <rFont val="Arial"/>
      </rPr>
      <t xml:space="preserve">, </t>
    </r>
    <r>
      <rPr>
        <sz val="10"/>
        <rFont val="Symbol"/>
        <family val="1"/>
        <charset val="2"/>
      </rPr>
      <t>r</t>
    </r>
    <r>
      <rPr>
        <sz val="10"/>
        <rFont val="Arial"/>
      </rPr>
      <t xml:space="preserve"> and k are the </t>
    </r>
    <r>
      <rPr>
        <i/>
        <sz val="10"/>
        <rFont val="Arial"/>
        <family val="2"/>
      </rPr>
      <t>heat capacity, dynamic viscocity, density</t>
    </r>
    <r>
      <rPr>
        <sz val="10"/>
        <rFont val="Arial"/>
      </rPr>
      <t xml:space="preserve"> and </t>
    </r>
    <r>
      <rPr>
        <i/>
        <sz val="10"/>
        <rFont val="Arial"/>
        <family val="2"/>
      </rPr>
      <t xml:space="preserve">thermal </t>
    </r>
  </si>
  <si>
    <r>
      <t>conductivity</t>
    </r>
    <r>
      <rPr>
        <sz val="10"/>
        <rFont val="Arial"/>
      </rPr>
      <t xml:space="preserve"> of the fluid, respectively.</t>
    </r>
  </si>
  <si>
    <t>An equation that is more convenient for use with rocket motor analysis is given below, which</t>
  </si>
  <si>
    <r>
      <t xml:space="preserve">allows the coefficient to be calculated from the </t>
    </r>
    <r>
      <rPr>
        <i/>
        <sz val="10"/>
        <rFont val="Arial"/>
        <family val="2"/>
      </rPr>
      <t>mass velocity</t>
    </r>
    <r>
      <rPr>
        <sz val="10"/>
        <rFont val="Arial"/>
      </rPr>
      <t>, G, in addition to the C</t>
    </r>
    <r>
      <rPr>
        <sz val="8"/>
        <rFont val="Arial"/>
        <family val="2"/>
      </rPr>
      <t>p</t>
    </r>
    <r>
      <rPr>
        <sz val="10"/>
        <rFont val="Arial"/>
      </rPr>
      <t xml:space="preserve"> and</t>
    </r>
  </si>
  <si>
    <t>and casing geometry.</t>
  </si>
  <si>
    <r>
      <t xml:space="preserve">Note that this equation is </t>
    </r>
    <r>
      <rPr>
        <i/>
        <sz val="10"/>
        <rFont val="Arial"/>
        <family val="2"/>
      </rPr>
      <t>valid for the English units shown</t>
    </r>
    <r>
      <rPr>
        <sz val="10"/>
        <rFont val="Arial"/>
      </rPr>
      <t>. For convenience, input units may</t>
    </r>
  </si>
  <si>
    <t>alternatively be S.I., with appropriate conversions automatically performed.</t>
  </si>
  <si>
    <t>Ref. Mark's Hdbk. for Mechanical Engineers, 8th ed.</t>
  </si>
  <si>
    <t>DATA INPUT</t>
  </si>
  <si>
    <t>English Units</t>
  </si>
  <si>
    <r>
      <t>C</t>
    </r>
    <r>
      <rPr>
        <sz val="8"/>
        <rFont val="Arial"/>
        <family val="2"/>
      </rPr>
      <t>p</t>
    </r>
    <r>
      <rPr>
        <sz val="10"/>
        <rFont val="Arial"/>
      </rPr>
      <t>:</t>
    </r>
  </si>
  <si>
    <t>BTU/lb-R</t>
  </si>
  <si>
    <r>
      <t>C</t>
    </r>
    <r>
      <rPr>
        <sz val="8"/>
        <rFont val="Arial"/>
        <family val="2"/>
      </rPr>
      <t>p</t>
    </r>
    <r>
      <rPr>
        <sz val="10"/>
        <rFont val="Arial"/>
      </rPr>
      <t xml:space="preserve"> =</t>
    </r>
  </si>
  <si>
    <t>Specific heat of combustion mixture</t>
  </si>
  <si>
    <r>
      <t>w</t>
    </r>
    <r>
      <rPr>
        <sz val="8"/>
        <rFont val="Arial"/>
        <family val="2"/>
      </rPr>
      <t>p:</t>
    </r>
    <r>
      <rPr>
        <sz val="10"/>
        <rFont val="Arial"/>
      </rPr>
      <t xml:space="preserve"> </t>
    </r>
  </si>
  <si>
    <t>lb</t>
  </si>
  <si>
    <r>
      <t>w</t>
    </r>
    <r>
      <rPr>
        <sz val="8"/>
        <rFont val="Arial"/>
        <family val="2"/>
      </rPr>
      <t>p</t>
    </r>
    <r>
      <rPr>
        <sz val="10"/>
        <rFont val="Arial"/>
      </rPr>
      <t xml:space="preserve"> =</t>
    </r>
  </si>
  <si>
    <t>Propellant weight</t>
  </si>
  <si>
    <r>
      <t>t</t>
    </r>
    <r>
      <rPr>
        <sz val="8"/>
        <rFont val="Arial"/>
        <family val="2"/>
      </rPr>
      <t>b</t>
    </r>
    <r>
      <rPr>
        <sz val="10"/>
        <rFont val="Arial"/>
      </rPr>
      <t xml:space="preserve"> :</t>
    </r>
  </si>
  <si>
    <t>sec.</t>
  </si>
  <si>
    <r>
      <t>t</t>
    </r>
    <r>
      <rPr>
        <sz val="8"/>
        <rFont val="Arial"/>
        <family val="2"/>
      </rPr>
      <t>b</t>
    </r>
    <r>
      <rPr>
        <sz val="10"/>
        <rFont val="Arial"/>
      </rPr>
      <t xml:space="preserve"> =</t>
    </r>
  </si>
  <si>
    <t>Burn time</t>
  </si>
  <si>
    <r>
      <t>D</t>
    </r>
    <r>
      <rPr>
        <sz val="8"/>
        <rFont val="Arial"/>
        <family val="2"/>
      </rPr>
      <t xml:space="preserve"> i</t>
    </r>
    <r>
      <rPr>
        <sz val="10"/>
        <rFont val="Arial"/>
      </rPr>
      <t xml:space="preserve"> :</t>
    </r>
  </si>
  <si>
    <t>in.</t>
  </si>
  <si>
    <t>w =</t>
  </si>
  <si>
    <t>lb/sec.</t>
  </si>
  <si>
    <t>Mass flow rate though chamber, avg.</t>
  </si>
  <si>
    <t>L :</t>
  </si>
  <si>
    <r>
      <t>D</t>
    </r>
    <r>
      <rPr>
        <sz val="8"/>
        <rFont val="Arial"/>
        <family val="2"/>
      </rPr>
      <t xml:space="preserve"> i</t>
    </r>
    <r>
      <rPr>
        <sz val="10"/>
        <rFont val="Arial"/>
      </rPr>
      <t xml:space="preserve"> =</t>
    </r>
  </si>
  <si>
    <t>Chamber inside diameter</t>
  </si>
  <si>
    <r>
      <t>m</t>
    </r>
    <r>
      <rPr>
        <vertAlign val="subscript"/>
        <sz val="10"/>
        <rFont val="Symbol"/>
        <family val="1"/>
        <charset val="2"/>
      </rPr>
      <t xml:space="preserve"> </t>
    </r>
    <r>
      <rPr>
        <vertAlign val="subscript"/>
        <sz val="10"/>
        <rFont val="Arial"/>
        <family val="2"/>
      </rPr>
      <t>f</t>
    </r>
    <r>
      <rPr>
        <sz val="10"/>
        <rFont val="Symbol"/>
        <family val="1"/>
        <charset val="2"/>
      </rPr>
      <t xml:space="preserve"> :</t>
    </r>
  </si>
  <si>
    <r>
      <t>lb-sec/ft</t>
    </r>
    <r>
      <rPr>
        <vertAlign val="superscript"/>
        <sz val="10"/>
        <rFont val="Arial"/>
        <family val="2"/>
      </rPr>
      <t xml:space="preserve">2 </t>
    </r>
    <r>
      <rPr>
        <sz val="10"/>
        <rFont val="Arial"/>
        <family val="2"/>
      </rPr>
      <t>x10</t>
    </r>
    <r>
      <rPr>
        <vertAlign val="superscript"/>
        <sz val="10"/>
        <rFont val="Arial"/>
        <family val="2"/>
      </rPr>
      <t>8</t>
    </r>
  </si>
  <si>
    <t>L =</t>
  </si>
  <si>
    <t>Chamber length</t>
  </si>
  <si>
    <t>S =</t>
  </si>
  <si>
    <r>
      <t>ft</t>
    </r>
    <r>
      <rPr>
        <vertAlign val="superscript"/>
        <sz val="10"/>
        <rFont val="Arial"/>
        <family val="2"/>
      </rPr>
      <t>2</t>
    </r>
  </si>
  <si>
    <t>Chamber cross-section area</t>
  </si>
  <si>
    <t>S.I. Units</t>
  </si>
  <si>
    <t>G = w/S =</t>
  </si>
  <si>
    <r>
      <t>lb/hr-ft</t>
    </r>
    <r>
      <rPr>
        <vertAlign val="superscript"/>
        <sz val="10"/>
        <rFont val="Arial"/>
        <family val="2"/>
      </rPr>
      <t>2</t>
    </r>
  </si>
  <si>
    <t>Mass velocity</t>
  </si>
  <si>
    <t>J/g-K (or kJ/kg-K)</t>
  </si>
  <si>
    <t>Note [2]</t>
  </si>
  <si>
    <r>
      <t>D</t>
    </r>
    <r>
      <rPr>
        <sz val="8"/>
        <rFont val="Arial"/>
        <family val="2"/>
      </rPr>
      <t xml:space="preserve"> i</t>
    </r>
    <r>
      <rPr>
        <sz val="10"/>
        <rFont val="Arial"/>
      </rPr>
      <t>/L =</t>
    </r>
  </si>
  <si>
    <t>kg.</t>
  </si>
  <si>
    <r>
      <t>h</t>
    </r>
    <r>
      <rPr>
        <sz val="8"/>
        <rFont val="Arial"/>
        <family val="2"/>
      </rPr>
      <t>m</t>
    </r>
    <r>
      <rPr>
        <sz val="10"/>
        <rFont val="Arial"/>
      </rPr>
      <t xml:space="preserve"> =</t>
    </r>
  </si>
  <si>
    <r>
      <t>BTU/hr-ft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-F</t>
    </r>
  </si>
  <si>
    <t>Convective (film) coefficient, avg.</t>
  </si>
  <si>
    <t xml:space="preserve">or </t>
  </si>
  <si>
    <r>
      <t>W/m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-K</t>
    </r>
  </si>
  <si>
    <t>mm.</t>
  </si>
  <si>
    <t>Check validity of equation for given parameters:</t>
  </si>
  <si>
    <r>
      <t>N-sec/m</t>
    </r>
    <r>
      <rPr>
        <vertAlign val="superscript"/>
        <sz val="10"/>
        <rFont val="Arial"/>
        <family val="2"/>
      </rPr>
      <t xml:space="preserve">2 </t>
    </r>
    <r>
      <rPr>
        <sz val="10"/>
        <rFont val="Arial"/>
        <family val="2"/>
      </rPr>
      <t>x10</t>
    </r>
    <r>
      <rPr>
        <vertAlign val="superscript"/>
        <sz val="10"/>
        <rFont val="Arial"/>
        <family val="2"/>
      </rPr>
      <t>7</t>
    </r>
  </si>
  <si>
    <t>Note [3]</t>
  </si>
  <si>
    <r>
      <t>m</t>
    </r>
    <r>
      <rPr>
        <vertAlign val="subscript"/>
        <sz val="10"/>
        <rFont val="Symbol"/>
        <family val="1"/>
        <charset val="2"/>
      </rPr>
      <t xml:space="preserve"> </t>
    </r>
    <r>
      <rPr>
        <vertAlign val="subscript"/>
        <sz val="10"/>
        <rFont val="Arial"/>
        <family val="2"/>
      </rPr>
      <t>f</t>
    </r>
    <r>
      <rPr>
        <sz val="10"/>
        <rFont val="Symbol"/>
        <family val="1"/>
        <charset val="2"/>
      </rPr>
      <t xml:space="preserve"> =</t>
    </r>
  </si>
  <si>
    <t>Viscocity of combustion mixture at</t>
  </si>
  <si>
    <t>arithmetic mean of wall and fluid</t>
  </si>
  <si>
    <r>
      <t xml:space="preserve">temperatures, </t>
    </r>
    <r>
      <rPr>
        <sz val="9"/>
        <rFont val="Arial"/>
        <family val="2"/>
      </rPr>
      <t>Note [1]</t>
    </r>
  </si>
  <si>
    <r>
      <t>D G/</t>
    </r>
    <r>
      <rPr>
        <sz val="10"/>
        <rFont val="Symbol"/>
        <family val="1"/>
        <charset val="2"/>
      </rPr>
      <t>m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=</t>
    </r>
  </si>
  <si>
    <t>Notes</t>
  </si>
  <si>
    <r>
      <t xml:space="preserve">[1] Range of </t>
    </r>
    <r>
      <rPr>
        <sz val="10"/>
        <rFont val="Symbol"/>
        <family val="1"/>
        <charset val="2"/>
      </rPr>
      <t>m</t>
    </r>
    <r>
      <rPr>
        <vertAlign val="subscript"/>
        <sz val="10"/>
        <rFont val="Arial"/>
        <family val="2"/>
      </rPr>
      <t>f</t>
    </r>
    <r>
      <rPr>
        <sz val="10"/>
        <rFont val="Arial"/>
      </rPr>
      <t xml:space="preserve"> for typical combustion gases is between</t>
    </r>
  </si>
  <si>
    <r>
      <t xml:space="preserve">   </t>
    </r>
    <r>
      <rPr>
        <b/>
        <sz val="10"/>
        <rFont val="Arial"/>
        <family val="2"/>
      </rPr>
      <t xml:space="preserve"> 48</t>
    </r>
    <r>
      <rPr>
        <sz val="10"/>
        <rFont val="Arial"/>
      </rPr>
      <t xml:space="preserve"> and</t>
    </r>
    <r>
      <rPr>
        <b/>
        <sz val="10"/>
        <rFont val="Arial"/>
        <family val="2"/>
      </rPr>
      <t xml:space="preserve"> 52</t>
    </r>
    <r>
      <rPr>
        <sz val="10"/>
        <rFont val="Arial"/>
      </rPr>
      <t xml:space="preserve"> at 400 deg.F. and</t>
    </r>
  </si>
  <si>
    <r>
      <t xml:space="preserve">    </t>
    </r>
    <r>
      <rPr>
        <b/>
        <sz val="10"/>
        <rFont val="Arial"/>
        <family val="2"/>
      </rPr>
      <t>96</t>
    </r>
    <r>
      <rPr>
        <sz val="10"/>
        <rFont val="Arial"/>
      </rPr>
      <t xml:space="preserve"> and </t>
    </r>
    <r>
      <rPr>
        <b/>
        <sz val="10"/>
        <rFont val="Arial"/>
        <family val="2"/>
      </rPr>
      <t>104</t>
    </r>
    <r>
      <rPr>
        <sz val="10"/>
        <rFont val="Arial"/>
      </rPr>
      <t xml:space="preserve"> at 1800 deg. F.    (lb-sec/ft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x10</t>
    </r>
    <r>
      <rPr>
        <vertAlign val="superscript"/>
        <sz val="10"/>
        <rFont val="Arial"/>
        <family val="2"/>
      </rPr>
      <t>8</t>
    </r>
    <r>
      <rPr>
        <sz val="10"/>
        <rFont val="Arial"/>
      </rPr>
      <t>)</t>
    </r>
  </si>
  <si>
    <t>or</t>
  </si>
  <si>
    <r>
      <t xml:space="preserve">    </t>
    </r>
    <r>
      <rPr>
        <b/>
        <sz val="10"/>
        <rFont val="Arial"/>
        <family val="2"/>
      </rPr>
      <t>230</t>
    </r>
    <r>
      <rPr>
        <sz val="10"/>
        <rFont val="Arial"/>
      </rPr>
      <t xml:space="preserve"> and </t>
    </r>
    <r>
      <rPr>
        <b/>
        <sz val="10"/>
        <rFont val="Arial"/>
        <family val="2"/>
      </rPr>
      <t>250</t>
    </r>
    <r>
      <rPr>
        <sz val="10"/>
        <rFont val="Arial"/>
      </rPr>
      <t xml:space="preserve"> at 200 deg.C. and</t>
    </r>
  </si>
  <si>
    <r>
      <t xml:space="preserve">    </t>
    </r>
    <r>
      <rPr>
        <b/>
        <sz val="10"/>
        <rFont val="Arial"/>
        <family val="2"/>
      </rPr>
      <t>460</t>
    </r>
    <r>
      <rPr>
        <sz val="10"/>
        <rFont val="Arial"/>
      </rPr>
      <t xml:space="preserve"> and </t>
    </r>
    <r>
      <rPr>
        <b/>
        <sz val="10"/>
        <rFont val="Arial"/>
        <family val="2"/>
      </rPr>
      <t>500</t>
    </r>
    <r>
      <rPr>
        <sz val="10"/>
        <rFont val="Arial"/>
      </rPr>
      <t xml:space="preserve"> at 1000 deg. C.    (N-sec/m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x10</t>
    </r>
    <r>
      <rPr>
        <vertAlign val="superscript"/>
        <sz val="10"/>
        <rFont val="Arial"/>
        <family val="2"/>
      </rPr>
      <t>7</t>
    </r>
    <r>
      <rPr>
        <sz val="10"/>
        <rFont val="Arial"/>
      </rPr>
      <t>)</t>
    </r>
  </si>
  <si>
    <t xml:space="preserve">[2]  Heat capacity values for combustion products at </t>
  </si>
  <si>
    <t xml:space="preserve"> </t>
  </si>
  <si>
    <t xml:space="preserve">      combustion temperature.</t>
  </si>
  <si>
    <t>KN-Sorbitol, 65/35 O/F</t>
  </si>
  <si>
    <t>KN-Dextrose, 65/35 O/F</t>
  </si>
  <si>
    <t>KN-Sucrose, 65/35 O/F</t>
  </si>
  <si>
    <t>Record of Revisions</t>
  </si>
  <si>
    <t>Version</t>
  </si>
  <si>
    <t>Date</t>
  </si>
  <si>
    <t>Worksheet</t>
  </si>
  <si>
    <t>Changes</t>
  </si>
  <si>
    <t>All</t>
  </si>
  <si>
    <t>Original release</t>
  </si>
  <si>
    <t>Properties</t>
  </si>
  <si>
    <t>Added properties for Dow 93-104, Paper Phenolic &amp; Ti-6Al-4V</t>
  </si>
  <si>
    <r>
      <t>THERMCAS.XLS</t>
    </r>
    <r>
      <rPr>
        <sz val="10"/>
        <color indexed="10"/>
        <rFont val="courier"/>
      </rPr>
      <t xml:space="preserve">  </t>
    </r>
    <r>
      <rPr>
        <sz val="9"/>
        <color indexed="10"/>
        <rFont val="Arial"/>
        <family val="2"/>
      </rPr>
      <t>(EXCEL spreadsheet)</t>
    </r>
  </si>
  <si>
    <t>[1] [2] [10]</t>
  </si>
  <si>
    <t>[10]</t>
  </si>
  <si>
    <t>Ref. MIL-HDBK-5G, Fig.2.3.1.0 (values @927C. extrapolated)</t>
  </si>
  <si>
    <t>Modified values and reference for 4130 alloy steel</t>
  </si>
  <si>
    <t xml:space="preserve"> Cotronics 740</t>
  </si>
  <si>
    <t>[11]</t>
  </si>
  <si>
    <t>COTRONICS data sheet Recor 740 insulating foam</t>
  </si>
  <si>
    <t xml:space="preserve"> Cotronics 750</t>
  </si>
  <si>
    <t>[12]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</si>
  <si>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</si>
  <si>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r>
      <t>SiO</t>
    </r>
    <r>
      <rPr>
        <vertAlign val="subscript"/>
        <sz val="9"/>
        <rFont val="Arial"/>
      </rPr>
      <t>2</t>
    </r>
  </si>
  <si>
    <r>
      <t>Al</t>
    </r>
    <r>
      <rPr>
        <vertAlign val="subscript"/>
        <sz val="9"/>
        <rFont val="Arial"/>
      </rPr>
      <t>2</t>
    </r>
    <r>
      <rPr>
        <sz val="9"/>
        <rFont val="Arial"/>
      </rPr>
      <t>O</t>
    </r>
    <r>
      <rPr>
        <vertAlign val="subscript"/>
        <sz val="9"/>
        <rFont val="Arial"/>
      </rPr>
      <t xml:space="preserve">3 </t>
    </r>
    <r>
      <rPr>
        <sz val="9"/>
        <rFont val="Arial"/>
      </rPr>
      <t>-SiO</t>
    </r>
    <r>
      <rPr>
        <vertAlign val="subscript"/>
        <sz val="9"/>
        <rFont val="Arial"/>
      </rPr>
      <t>2</t>
    </r>
  </si>
  <si>
    <t>Added properties for Cotronics 740 and 750</t>
  </si>
  <si>
    <t>Grafoil</t>
  </si>
  <si>
    <t>[13]</t>
  </si>
  <si>
    <t>[14]</t>
  </si>
  <si>
    <t>Grafoil flexible graphite sheet: http://www.usseal.com/grafoilspecs.htm</t>
  </si>
  <si>
    <t>thermal conductivity along length &amp; width</t>
  </si>
  <si>
    <t>thermal conductivity through thickness</t>
  </si>
  <si>
    <t>Added properties for Grafoil; rearranged table</t>
  </si>
  <si>
    <t>Version 1.03 (6-06)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</si>
</sst>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50" x14ac:knownFonts="1">
    <font>
      <sz val="10"/>
      <name val="Arial"/>
    </font>
    <font>
      <sz val="8"/>
      <name val="Arial"/>
      <family val="2"/>
    </font>
    <font>
      <sz val="10"/>
      <color indexed="12"/>
      <name val="Arial"/>
      <family val="2"/>
    </font>
    <font>
      <sz val="8"/>
      <color indexed="12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10"/>
      <color indexed="16"/>
      <name val="Arial"/>
    </font>
    <font>
      <sz val="10"/>
      <color indexed="16"/>
      <name val="Symbol"/>
      <family val="1"/>
      <charset val="2"/>
    </font>
    <font>
      <vertAlign val="superscript"/>
      <sz val="10"/>
      <color indexed="16"/>
      <name val="Arial"/>
      <family val="2"/>
    </font>
    <font>
      <sz val="10"/>
      <color indexed="1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8"/>
      <name val="Arial"/>
    </font>
    <font>
      <sz val="7"/>
      <name val="Arial"/>
      <family val="2"/>
    </font>
    <font>
      <sz val="10"/>
      <color indexed="53"/>
      <name val="Arial"/>
      <family val="2"/>
    </font>
    <font>
      <sz val="10"/>
      <color indexed="52"/>
      <name val="Arial"/>
      <family val="2"/>
    </font>
    <font>
      <sz val="10"/>
      <color indexed="17"/>
      <name val="Arial"/>
      <family val="2"/>
    </font>
    <font>
      <sz val="10"/>
      <color indexed="62"/>
      <name val="Arial"/>
      <family val="2"/>
    </font>
    <font>
      <sz val="10"/>
      <color indexed="63"/>
      <name val="Arial"/>
      <family val="2"/>
    </font>
    <font>
      <sz val="10"/>
      <color indexed="22"/>
      <name val="Arial"/>
      <family val="2"/>
    </font>
    <font>
      <sz val="10"/>
      <color indexed="55"/>
      <name val="Arial"/>
      <family val="2"/>
    </font>
    <font>
      <sz val="10"/>
      <color indexed="23"/>
      <name val="Arial"/>
      <family val="2"/>
    </font>
    <font>
      <sz val="10"/>
      <color indexed="54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i/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Symbol"/>
      <family val="1"/>
      <charset val="2"/>
    </font>
    <font>
      <vertAlign val="subscript"/>
      <sz val="10"/>
      <name val="Arial"/>
      <family val="2"/>
    </font>
    <font>
      <b/>
      <i/>
      <sz val="10"/>
      <name val="Arial"/>
      <family val="2"/>
    </font>
    <font>
      <b/>
      <u/>
      <sz val="10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12"/>
      <color indexed="10"/>
      <name val="Arial"/>
      <family val="2"/>
    </font>
    <font>
      <sz val="10"/>
      <color indexed="10"/>
      <name val="courier"/>
    </font>
    <font>
      <sz val="9"/>
      <color indexed="10"/>
      <name val="Arial"/>
      <family val="2"/>
    </font>
    <font>
      <sz val="10"/>
      <color indexed="10"/>
      <name val="Arial"/>
    </font>
    <font>
      <b/>
      <sz val="10"/>
      <color indexed="10"/>
      <name val="Arial"/>
    </font>
    <font>
      <sz val="9"/>
      <color indexed="16"/>
      <name val="Arial"/>
      <family val="2"/>
    </font>
    <font>
      <sz val="10"/>
      <color indexed="16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b/>
      <u/>
      <sz val="12"/>
      <name val="Arial"/>
      <family val="2"/>
    </font>
    <font>
      <b/>
      <sz val="10"/>
      <color indexed="10"/>
      <name val="Arial"/>
      <family val="2"/>
    </font>
    <font>
      <sz val="9"/>
      <name val="Arial"/>
    </font>
    <font>
      <vertAlign val="subscript"/>
      <sz val="9"/>
      <name val="Arial"/>
    </font>
    <font>
      <vertAlign val="subscript"/>
      <sz val="8"/>
      <name val="Arial"/>
      <family val="2"/>
    </font>
    <font>
      <i/>
      <sz val="8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4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/>
    <xf numFmtId="0" fontId="4" fillId="0" borderId="9" xfId="0" applyFont="1" applyBorder="1"/>
    <xf numFmtId="0" fontId="7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5" fontId="6" fillId="0" borderId="10" xfId="0" applyNumberFormat="1" applyFont="1" applyBorder="1"/>
    <xf numFmtId="165" fontId="6" fillId="0" borderId="11" xfId="0" applyNumberFormat="1" applyFont="1" applyBorder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165" fontId="2" fillId="0" borderId="16" xfId="0" applyNumberFormat="1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165" fontId="2" fillId="0" borderId="19" xfId="0" applyNumberFormat="1" applyFont="1" applyBorder="1"/>
    <xf numFmtId="0" fontId="2" fillId="0" borderId="3" xfId="0" applyFont="1" applyBorder="1"/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/>
    <xf numFmtId="0" fontId="9" fillId="0" borderId="15" xfId="0" applyFont="1" applyBorder="1"/>
    <xf numFmtId="0" fontId="9" fillId="0" borderId="16" xfId="0" applyFont="1" applyBorder="1"/>
    <xf numFmtId="166" fontId="9" fillId="0" borderId="16" xfId="0" applyNumberFormat="1" applyFont="1" applyBorder="1"/>
    <xf numFmtId="0" fontId="9" fillId="0" borderId="1" xfId="0" applyFont="1" applyBorder="1"/>
    <xf numFmtId="0" fontId="9" fillId="0" borderId="3" xfId="0" applyFont="1" applyBorder="1" applyAlignment="1">
      <alignment horizontal="center"/>
    </xf>
    <xf numFmtId="0" fontId="9" fillId="0" borderId="17" xfId="0" applyFont="1" applyBorder="1"/>
    <xf numFmtId="0" fontId="9" fillId="0" borderId="18" xfId="0" applyFont="1" applyBorder="1"/>
    <xf numFmtId="0" fontId="9" fillId="0" borderId="19" xfId="0" applyFont="1" applyBorder="1"/>
    <xf numFmtId="166" fontId="9" fillId="0" borderId="19" xfId="0" applyNumberFormat="1" applyFont="1" applyBorder="1"/>
    <xf numFmtId="1" fontId="4" fillId="0" borderId="9" xfId="0" applyNumberFormat="1" applyFont="1" applyBorder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23" xfId="0" applyBorder="1"/>
    <xf numFmtId="0" fontId="4" fillId="0" borderId="24" xfId="0" applyFont="1" applyBorder="1"/>
    <xf numFmtId="1" fontId="4" fillId="0" borderId="25" xfId="0" applyNumberFormat="1" applyFont="1" applyBorder="1"/>
    <xf numFmtId="0" fontId="6" fillId="0" borderId="24" xfId="0" applyFont="1" applyBorder="1"/>
    <xf numFmtId="0" fontId="9" fillId="0" borderId="26" xfId="0" applyFont="1" applyBorder="1"/>
    <xf numFmtId="0" fontId="9" fillId="0" borderId="23" xfId="0" applyFont="1" applyBorder="1"/>
    <xf numFmtId="0" fontId="9" fillId="0" borderId="27" xfId="0" applyFont="1" applyBorder="1"/>
    <xf numFmtId="0" fontId="2" fillId="0" borderId="26" xfId="0" applyFont="1" applyBorder="1"/>
    <xf numFmtId="0" fontId="2" fillId="0" borderId="28" xfId="0" applyFont="1" applyBorder="1"/>
    <xf numFmtId="0" fontId="2" fillId="0" borderId="23" xfId="0" applyFont="1" applyBorder="1"/>
    <xf numFmtId="0" fontId="2" fillId="0" borderId="27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165" fontId="2" fillId="0" borderId="34" xfId="0" applyNumberFormat="1" applyFont="1" applyBorder="1"/>
    <xf numFmtId="0" fontId="2" fillId="0" borderId="35" xfId="0" applyFont="1" applyBorder="1"/>
    <xf numFmtId="0" fontId="11" fillId="0" borderId="0" xfId="0" applyFont="1"/>
    <xf numFmtId="1" fontId="6" fillId="0" borderId="7" xfId="0" applyNumberFormat="1" applyFont="1" applyBorder="1"/>
    <xf numFmtId="0" fontId="4" fillId="0" borderId="7" xfId="0" applyFont="1" applyBorder="1" applyAlignment="1">
      <alignment horizontal="right"/>
    </xf>
    <xf numFmtId="0" fontId="9" fillId="0" borderId="29" xfId="0" applyFont="1" applyBorder="1"/>
    <xf numFmtId="0" fontId="9" fillId="0" borderId="30" xfId="0" applyFont="1" applyBorder="1"/>
    <xf numFmtId="0" fontId="9" fillId="0" borderId="31" xfId="0" applyFont="1" applyBorder="1" applyAlignment="1">
      <alignment horizontal="center"/>
    </xf>
    <xf numFmtId="0" fontId="9" fillId="0" borderId="32" xfId="0" applyFont="1" applyBorder="1"/>
    <xf numFmtId="0" fontId="9" fillId="0" borderId="36" xfId="0" applyFont="1" applyBorder="1"/>
    <xf numFmtId="0" fontId="9" fillId="0" borderId="34" xfId="0" applyFont="1" applyBorder="1"/>
    <xf numFmtId="166" fontId="9" fillId="0" borderId="34" xfId="0" applyNumberFormat="1" applyFont="1" applyBorder="1"/>
    <xf numFmtId="0" fontId="9" fillId="0" borderId="35" xfId="0" applyFont="1" applyBorder="1"/>
    <xf numFmtId="0" fontId="0" fillId="0" borderId="37" xfId="0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1" fillId="0" borderId="40" xfId="0" applyFont="1" applyBorder="1"/>
    <xf numFmtId="0" fontId="11" fillId="0" borderId="39" xfId="0" applyFont="1" applyBorder="1"/>
    <xf numFmtId="0" fontId="24" fillId="0" borderId="0" xfId="0" applyFont="1" applyAlignment="1">
      <alignment horizontal="right"/>
    </xf>
    <xf numFmtId="0" fontId="25" fillId="2" borderId="4" xfId="0" applyFont="1" applyFill="1" applyBorder="1"/>
    <xf numFmtId="0" fontId="25" fillId="2" borderId="7" xfId="0" applyFont="1" applyFill="1" applyBorder="1"/>
    <xf numFmtId="0" fontId="24" fillId="2" borderId="42" xfId="0" applyFont="1" applyFill="1" applyBorder="1" applyAlignment="1">
      <alignment horizontal="right"/>
    </xf>
    <xf numFmtId="1" fontId="0" fillId="0" borderId="0" xfId="0" applyNumberFormat="1"/>
    <xf numFmtId="1" fontId="11" fillId="0" borderId="43" xfId="0" applyNumberFormat="1" applyFont="1" applyBorder="1"/>
    <xf numFmtId="0" fontId="26" fillId="0" borderId="0" xfId="0" applyFont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5" xfId="0" applyBorder="1"/>
    <xf numFmtId="0" fontId="12" fillId="0" borderId="50" xfId="0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14" fillId="0" borderId="0" xfId="0" applyFont="1"/>
    <xf numFmtId="0" fontId="0" fillId="0" borderId="0" xfId="0" quotePrefix="1" applyAlignment="1">
      <alignment horizontal="left"/>
    </xf>
    <xf numFmtId="0" fontId="14" fillId="0" borderId="0" xfId="0" quotePrefix="1" applyFont="1" applyAlignment="1">
      <alignment horizontal="left"/>
    </xf>
    <xf numFmtId="0" fontId="31" fillId="0" borderId="0" xfId="0" applyFont="1"/>
    <xf numFmtId="0" fontId="25" fillId="0" borderId="0" xfId="0" applyFont="1"/>
    <xf numFmtId="164" fontId="25" fillId="0" borderId="0" xfId="0" applyNumberFormat="1" applyFont="1"/>
    <xf numFmtId="165" fontId="25" fillId="0" borderId="0" xfId="0" applyNumberFormat="1" applyFont="1"/>
    <xf numFmtId="1" fontId="25" fillId="0" borderId="0" xfId="0" applyNumberFormat="1" applyFont="1"/>
    <xf numFmtId="0" fontId="0" fillId="0" borderId="46" xfId="0" applyBorder="1" applyAlignment="1">
      <alignment horizontal="right"/>
    </xf>
    <xf numFmtId="164" fontId="0" fillId="0" borderId="0" xfId="0" applyNumberFormat="1"/>
    <xf numFmtId="166" fontId="9" fillId="0" borderId="36" xfId="0" applyNumberFormat="1" applyFont="1" applyBorder="1"/>
    <xf numFmtId="0" fontId="32" fillId="0" borderId="30" xfId="0" applyFont="1" applyBorder="1" applyAlignment="1">
      <alignment horizontal="center"/>
    </xf>
    <xf numFmtId="0" fontId="10" fillId="0" borderId="51" xfId="0" applyFon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1" fontId="9" fillId="0" borderId="36" xfId="0" applyNumberFormat="1" applyFont="1" applyBorder="1"/>
    <xf numFmtId="2" fontId="9" fillId="0" borderId="56" xfId="0" applyNumberFormat="1" applyFont="1" applyBorder="1"/>
    <xf numFmtId="166" fontId="9" fillId="0" borderId="43" xfId="0" applyNumberFormat="1" applyFont="1" applyBorder="1"/>
    <xf numFmtId="1" fontId="4" fillId="0" borderId="57" xfId="0" applyNumberFormat="1" applyFont="1" applyBorder="1"/>
    <xf numFmtId="165" fontId="6" fillId="0" borderId="58" xfId="0" applyNumberFormat="1" applyFont="1" applyBorder="1"/>
    <xf numFmtId="0" fontId="2" fillId="0" borderId="48" xfId="0" applyFont="1" applyBorder="1"/>
    <xf numFmtId="0" fontId="2" fillId="0" borderId="59" xfId="0" applyFont="1" applyBorder="1"/>
    <xf numFmtId="0" fontId="2" fillId="0" borderId="60" xfId="0" applyFont="1" applyBorder="1"/>
    <xf numFmtId="2" fontId="9" fillId="0" borderId="48" xfId="0" applyNumberFormat="1" applyFont="1" applyBorder="1"/>
    <xf numFmtId="0" fontId="9" fillId="0" borderId="59" xfId="0" applyFont="1" applyBorder="1"/>
    <xf numFmtId="0" fontId="9" fillId="0" borderId="60" xfId="0" applyFont="1" applyBorder="1"/>
    <xf numFmtId="0" fontId="0" fillId="0" borderId="0" xfId="0" applyAlignment="1">
      <alignment horizontal="center"/>
    </xf>
    <xf numFmtId="0" fontId="1" fillId="0" borderId="61" xfId="0" applyFont="1" applyBorder="1" applyAlignment="1">
      <alignment horizontal="center"/>
    </xf>
    <xf numFmtId="0" fontId="0" fillId="0" borderId="62" xfId="0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11" fillId="0" borderId="0" xfId="0" applyFont="1" applyAlignment="1">
      <alignment horizontal="right"/>
    </xf>
    <xf numFmtId="1" fontId="11" fillId="0" borderId="0" xfId="0" applyNumberFormat="1" applyFont="1"/>
    <xf numFmtId="166" fontId="11" fillId="0" borderId="0" xfId="0" applyNumberFormat="1" applyFont="1"/>
    <xf numFmtId="0" fontId="34" fillId="3" borderId="12" xfId="0" applyFont="1" applyFill="1" applyBorder="1" applyAlignment="1">
      <alignment horizontal="centerContinuous"/>
    </xf>
    <xf numFmtId="0" fontId="37" fillId="3" borderId="64" xfId="0" applyFont="1" applyFill="1" applyBorder="1" applyAlignment="1">
      <alignment horizontal="centerContinuous"/>
    </xf>
    <xf numFmtId="0" fontId="37" fillId="3" borderId="65" xfId="0" applyFont="1" applyFill="1" applyBorder="1" applyAlignment="1">
      <alignment horizontal="centerContinuous"/>
    </xf>
    <xf numFmtId="0" fontId="38" fillId="3" borderId="5" xfId="0" applyFont="1" applyFill="1" applyBorder="1" applyAlignment="1">
      <alignment horizontal="centerContinuous"/>
    </xf>
    <xf numFmtId="0" fontId="37" fillId="3" borderId="2" xfId="0" applyFont="1" applyFill="1" applyBorder="1" applyAlignment="1">
      <alignment horizontal="centerContinuous"/>
    </xf>
    <xf numFmtId="0" fontId="37" fillId="3" borderId="66" xfId="0" applyFont="1" applyFill="1" applyBorder="1" applyAlignment="1">
      <alignment horizontal="centerContinuous"/>
    </xf>
    <xf numFmtId="0" fontId="39" fillId="4" borderId="12" xfId="0" applyFont="1" applyFill="1" applyBorder="1"/>
    <xf numFmtId="0" fontId="40" fillId="4" borderId="64" xfId="0" applyFont="1" applyFill="1" applyBorder="1"/>
    <xf numFmtId="0" fontId="40" fillId="4" borderId="65" xfId="0" applyFont="1" applyFill="1" applyBorder="1"/>
    <xf numFmtId="0" fontId="39" fillId="4" borderId="1" xfId="0" applyFont="1" applyFill="1" applyBorder="1"/>
    <xf numFmtId="0" fontId="40" fillId="4" borderId="0" xfId="0" applyFont="1" applyFill="1"/>
    <xf numFmtId="0" fontId="40" fillId="4" borderId="21" xfId="0" applyFont="1" applyFill="1" applyBorder="1"/>
    <xf numFmtId="0" fontId="41" fillId="4" borderId="1" xfId="0" applyFont="1" applyFill="1" applyBorder="1"/>
    <xf numFmtId="0" fontId="42" fillId="4" borderId="5" xfId="0" applyFont="1" applyFill="1" applyBorder="1"/>
    <xf numFmtId="0" fontId="40" fillId="4" borderId="2" xfId="0" applyFont="1" applyFill="1" applyBorder="1"/>
    <xf numFmtId="0" fontId="40" fillId="4" borderId="66" xfId="0" applyFont="1" applyFill="1" applyBorder="1"/>
    <xf numFmtId="1" fontId="0" fillId="0" borderId="2" xfId="0" applyNumberFormat="1" applyBorder="1"/>
    <xf numFmtId="0" fontId="43" fillId="0" borderId="0" xfId="0" applyFont="1"/>
    <xf numFmtId="0" fontId="0" fillId="0" borderId="48" xfId="0" applyBorder="1" applyAlignment="1">
      <alignment horizontal="right"/>
    </xf>
    <xf numFmtId="0" fontId="44" fillId="0" borderId="0" xfId="0" applyFont="1"/>
    <xf numFmtId="0" fontId="1" fillId="2" borderId="42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/>
    </xf>
    <xf numFmtId="0" fontId="16" fillId="2" borderId="7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18" fillId="2" borderId="7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23" fillId="2" borderId="7" xfId="0" applyFont="1" applyFill="1" applyBorder="1" applyAlignment="1">
      <alignment horizontal="center"/>
    </xf>
    <xf numFmtId="0" fontId="22" fillId="2" borderId="7" xfId="0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0" fontId="20" fillId="2" borderId="7" xfId="0" applyFont="1" applyFill="1" applyBorder="1" applyAlignment="1">
      <alignment horizontal="center"/>
    </xf>
    <xf numFmtId="0" fontId="10" fillId="0" borderId="39" xfId="0" applyFont="1" applyBorder="1"/>
    <xf numFmtId="2" fontId="0" fillId="0" borderId="0" xfId="0" applyNumberFormat="1"/>
    <xf numFmtId="0" fontId="10" fillId="0" borderId="0" xfId="0" applyFont="1"/>
    <xf numFmtId="165" fontId="0" fillId="0" borderId="0" xfId="0" applyNumberFormat="1"/>
    <xf numFmtId="165" fontId="0" fillId="0" borderId="55" xfId="0" applyNumberFormat="1" applyBorder="1"/>
    <xf numFmtId="0" fontId="10" fillId="0" borderId="54" xfId="0" applyFont="1" applyBorder="1"/>
    <xf numFmtId="0" fontId="10" fillId="0" borderId="67" xfId="0" applyFont="1" applyBorder="1"/>
    <xf numFmtId="0" fontId="12" fillId="0" borderId="0" xfId="0" applyFont="1"/>
    <xf numFmtId="0" fontId="0" fillId="0" borderId="0" xfId="0" applyProtection="1">
      <protection locked="0"/>
    </xf>
    <xf numFmtId="0" fontId="2" fillId="0" borderId="23" xfId="0" applyFont="1" applyBorder="1" applyProtection="1">
      <protection locked="0"/>
    </xf>
    <xf numFmtId="0" fontId="10" fillId="0" borderId="51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0" borderId="68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1" fillId="0" borderId="69" xfId="0" applyFont="1" applyBorder="1" applyAlignment="1">
      <alignment horizontal="center"/>
    </xf>
    <xf numFmtId="0" fontId="4" fillId="3" borderId="0" xfId="0" applyFont="1" applyFill="1" applyAlignment="1">
      <alignment horizontal="centerContinuous"/>
    </xf>
    <xf numFmtId="0" fontId="11" fillId="0" borderId="70" xfId="0" applyFont="1" applyBorder="1" applyAlignment="1">
      <alignment horizontal="centerContinuous"/>
    </xf>
    <xf numFmtId="0" fontId="11" fillId="0" borderId="71" xfId="0" applyFont="1" applyBorder="1" applyAlignment="1">
      <alignment horizontal="centerContinuous"/>
    </xf>
    <xf numFmtId="0" fontId="11" fillId="0" borderId="72" xfId="0" applyFont="1" applyBorder="1" applyAlignment="1">
      <alignment horizontal="centerContinuous"/>
    </xf>
    <xf numFmtId="0" fontId="26" fillId="0" borderId="0" xfId="0" applyFont="1" applyAlignment="1">
      <alignment horizontal="centerContinuous"/>
    </xf>
    <xf numFmtId="2" fontId="2" fillId="0" borderId="16" xfId="0" applyNumberFormat="1" applyFont="1" applyBorder="1"/>
    <xf numFmtId="1" fontId="4" fillId="0" borderId="73" xfId="0" applyNumberFormat="1" applyFont="1" applyBorder="1"/>
    <xf numFmtId="0" fontId="45" fillId="0" borderId="3" xfId="0" applyFont="1" applyBorder="1" applyAlignment="1">
      <alignment horizontal="center"/>
    </xf>
    <xf numFmtId="0" fontId="45" fillId="0" borderId="4" xfId="0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3" fillId="0" borderId="0" xfId="0" applyFont="1" applyAlignment="1">
      <alignment horizontal="right"/>
    </xf>
    <xf numFmtId="0" fontId="13" fillId="0" borderId="0" xfId="0" applyFont="1"/>
    <xf numFmtId="165" fontId="9" fillId="0" borderId="48" xfId="0" applyNumberFormat="1" applyFont="1" applyBorder="1"/>
    <xf numFmtId="0" fontId="4" fillId="0" borderId="74" xfId="0" applyFont="1" applyBorder="1"/>
    <xf numFmtId="165" fontId="6" fillId="0" borderId="75" xfId="0" applyNumberFormat="1" applyFont="1" applyBorder="1"/>
    <xf numFmtId="0" fontId="9" fillId="0" borderId="33" xfId="0" applyFont="1" applyBorder="1"/>
    <xf numFmtId="166" fontId="9" fillId="0" borderId="33" xfId="0" applyNumberFormat="1" applyFont="1" applyBorder="1"/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78" xfId="0" applyFont="1" applyBorder="1" applyAlignment="1">
      <alignment horizontal="center"/>
    </xf>
    <xf numFmtId="166" fontId="9" fillId="0" borderId="79" xfId="0" applyNumberFormat="1" applyFont="1" applyBorder="1"/>
    <xf numFmtId="166" fontId="6" fillId="0" borderId="58" xfId="0" applyNumberFormat="1" applyFont="1" applyBorder="1"/>
    <xf numFmtId="166" fontId="6" fillId="0" borderId="80" xfId="0" applyNumberFormat="1" applyFont="1" applyBorder="1"/>
    <xf numFmtId="0" fontId="48" fillId="0" borderId="0" xfId="0" applyFont="1"/>
    <xf numFmtId="1" fontId="9" fillId="0" borderId="28" xfId="0" applyNumberFormat="1" applyFont="1" applyBorder="1"/>
    <xf numFmtId="1" fontId="9" fillId="0" borderId="48" xfId="0" applyNumberFormat="1" applyFont="1" applyBorder="1"/>
    <xf numFmtId="1" fontId="9" fillId="0" borderId="43" xfId="0" applyNumberFormat="1" applyFont="1" applyBorder="1"/>
    <xf numFmtId="2" fontId="0" fillId="0" borderId="6" xfId="0" applyNumberFormat="1" applyBorder="1" applyAlignment="1">
      <alignment horizontal="center"/>
    </xf>
    <xf numFmtId="14" fontId="0" fillId="0" borderId="81" xfId="0" applyNumberFormat="1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1" xfId="0" applyBorder="1"/>
    <xf numFmtId="0" fontId="0" fillId="0" borderId="82" xfId="0" applyBorder="1"/>
    <xf numFmtId="0" fontId="0" fillId="0" borderId="6" xfId="0" applyBorder="1" applyAlignment="1">
      <alignment horizontal="center"/>
    </xf>
    <xf numFmtId="0" fontId="0" fillId="0" borderId="81" xfId="0" applyBorder="1" applyAlignment="1">
      <alignment horizontal="left"/>
    </xf>
    <xf numFmtId="0" fontId="0" fillId="0" borderId="12" xfId="0" applyBorder="1" applyAlignment="1">
      <alignment horizontal="center"/>
    </xf>
    <xf numFmtId="14" fontId="0" fillId="0" borderId="64" xfId="0" applyNumberFormat="1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64" xfId="0" applyBorder="1" applyAlignment="1">
      <alignment horizontal="left"/>
    </xf>
    <xf numFmtId="0" fontId="0" fillId="0" borderId="64" xfId="0" applyBorder="1"/>
    <xf numFmtId="0" fontId="0" fillId="0" borderId="65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66" xfId="0" applyBorder="1"/>
    <xf numFmtId="0" fontId="0" fillId="0" borderId="12" xfId="0" applyBorder="1"/>
    <xf numFmtId="0" fontId="11" fillId="0" borderId="64" xfId="0" applyFont="1" applyBorder="1"/>
    <xf numFmtId="0" fontId="0" fillId="0" borderId="21" xfId="0" applyBorder="1"/>
    <xf numFmtId="0" fontId="12" fillId="0" borderId="5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0" borderId="2" xfId="0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  Temperature Distribution 
through casing wall
</a:t>
            </a:r>
          </a:p>
        </c:rich>
      </c:tx>
      <c:layout>
        <c:manualLayout>
          <c:xMode val="edge"/>
          <c:yMode val="edge"/>
          <c:x val="0.23077683219892481"/>
          <c:y val="2.993294716890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039253354054668"/>
          <c:y val="0.23266063481286262"/>
          <c:w val="0.70675404860920732"/>
          <c:h val="0.6095436514395464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C0C0C0"/>
              </a:solidFill>
              <a:prstDash val="sysDash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Plotting!$C$3:$M$3</c:f>
              <c:numCache>
                <c:formatCode>General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B-472F-B8D1-D794FDB12F44}"/>
            </c:ext>
          </c:extLst>
        </c:ser>
        <c:ser>
          <c:idx val="1"/>
          <c:order val="1"/>
          <c:spPr>
            <a:ln w="12700">
              <a:solidFill>
                <a:srgbClr val="969696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Plotting!$C$4:$M$4</c:f>
              <c:numCache>
                <c:formatCode>General</c:formatCode>
                <c:ptCount val="11"/>
                <c:pt idx="0">
                  <c:v>130</c:v>
                </c:pt>
                <c:pt idx="1">
                  <c:v>103</c:v>
                </c:pt>
                <c:pt idx="2">
                  <c:v>81</c:v>
                </c:pt>
                <c:pt idx="3">
                  <c:v>63</c:v>
                </c:pt>
                <c:pt idx="4">
                  <c:v>50</c:v>
                </c:pt>
                <c:pt idx="5">
                  <c:v>40</c:v>
                </c:pt>
                <c:pt idx="6">
                  <c:v>33</c:v>
                </c:pt>
                <c:pt idx="7">
                  <c:v>28</c:v>
                </c:pt>
                <c:pt idx="8">
                  <c:v>25</c:v>
                </c:pt>
                <c:pt idx="9">
                  <c:v>23</c:v>
                </c:pt>
                <c:pt idx="1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B-472F-B8D1-D794FDB12F44}"/>
            </c:ext>
          </c:extLst>
        </c:ser>
        <c:ser>
          <c:idx val="2"/>
          <c:order val="2"/>
          <c:spPr>
            <a:ln w="12700">
              <a:solidFill>
                <a:srgbClr val="969696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Plotting!$C$5:$M$5</c:f>
              <c:numCache>
                <c:formatCode>General</c:formatCode>
                <c:ptCount val="11"/>
                <c:pt idx="0">
                  <c:v>179</c:v>
                </c:pt>
                <c:pt idx="1">
                  <c:v>152</c:v>
                </c:pt>
                <c:pt idx="2">
                  <c:v>128</c:v>
                </c:pt>
                <c:pt idx="3">
                  <c:v>107</c:v>
                </c:pt>
                <c:pt idx="4">
                  <c:v>89</c:v>
                </c:pt>
                <c:pt idx="5">
                  <c:v>74</c:v>
                </c:pt>
                <c:pt idx="6">
                  <c:v>63</c:v>
                </c:pt>
                <c:pt idx="7">
                  <c:v>54</c:v>
                </c:pt>
                <c:pt idx="8">
                  <c:v>47</c:v>
                </c:pt>
                <c:pt idx="9">
                  <c:v>43</c:v>
                </c:pt>
                <c:pt idx="10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4B-472F-B8D1-D794FDB12F44}"/>
            </c:ext>
          </c:extLst>
        </c:ser>
        <c:ser>
          <c:idx val="3"/>
          <c:order val="3"/>
          <c:spPr>
            <a:ln w="12700">
              <a:solidFill>
                <a:srgbClr val="808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Plotting!$C$6:$M$6</c:f>
              <c:numCache>
                <c:formatCode>General</c:formatCode>
                <c:ptCount val="11"/>
                <c:pt idx="0">
                  <c:v>217</c:v>
                </c:pt>
                <c:pt idx="1">
                  <c:v>190</c:v>
                </c:pt>
                <c:pt idx="2">
                  <c:v>165</c:v>
                </c:pt>
                <c:pt idx="3">
                  <c:v>143</c:v>
                </c:pt>
                <c:pt idx="4">
                  <c:v>124</c:v>
                </c:pt>
                <c:pt idx="5">
                  <c:v>108</c:v>
                </c:pt>
                <c:pt idx="6">
                  <c:v>95</c:v>
                </c:pt>
                <c:pt idx="7">
                  <c:v>85</c:v>
                </c:pt>
                <c:pt idx="8">
                  <c:v>77</c:v>
                </c:pt>
                <c:pt idx="9">
                  <c:v>72</c:v>
                </c:pt>
                <c:pt idx="10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4B-472F-B8D1-D794FDB12F44}"/>
            </c:ext>
          </c:extLst>
        </c:ser>
        <c:ser>
          <c:idx val="4"/>
          <c:order val="4"/>
          <c:spPr>
            <a:ln w="12700">
              <a:solidFill>
                <a:srgbClr val="3333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Plotting!$C$7:$M$7</c:f>
              <c:numCache>
                <c:formatCode>General</c:formatCode>
                <c:ptCount val="11"/>
                <c:pt idx="0">
                  <c:v>252</c:v>
                </c:pt>
                <c:pt idx="1">
                  <c:v>225</c:v>
                </c:pt>
                <c:pt idx="2">
                  <c:v>200</c:v>
                </c:pt>
                <c:pt idx="3">
                  <c:v>178</c:v>
                </c:pt>
                <c:pt idx="4">
                  <c:v>159</c:v>
                </c:pt>
                <c:pt idx="5">
                  <c:v>143</c:v>
                </c:pt>
                <c:pt idx="6">
                  <c:v>129</c:v>
                </c:pt>
                <c:pt idx="7">
                  <c:v>119</c:v>
                </c:pt>
                <c:pt idx="8">
                  <c:v>110</c:v>
                </c:pt>
                <c:pt idx="9">
                  <c:v>105</c:v>
                </c:pt>
                <c:pt idx="10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4B-472F-B8D1-D794FDB12F44}"/>
            </c:ext>
          </c:extLst>
        </c:ser>
        <c:ser>
          <c:idx val="5"/>
          <c:order val="5"/>
          <c:spPr>
            <a:ln w="12700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Plotting!$C$8:$M$8</c:f>
              <c:numCache>
                <c:formatCode>General</c:formatCode>
                <c:ptCount val="11"/>
                <c:pt idx="0">
                  <c:v>284</c:v>
                </c:pt>
                <c:pt idx="1">
                  <c:v>257</c:v>
                </c:pt>
                <c:pt idx="2">
                  <c:v>232</c:v>
                </c:pt>
                <c:pt idx="3">
                  <c:v>211</c:v>
                </c:pt>
                <c:pt idx="4">
                  <c:v>192</c:v>
                </c:pt>
                <c:pt idx="5">
                  <c:v>176</c:v>
                </c:pt>
                <c:pt idx="6">
                  <c:v>162</c:v>
                </c:pt>
                <c:pt idx="7">
                  <c:v>151</c:v>
                </c:pt>
                <c:pt idx="8">
                  <c:v>143</c:v>
                </c:pt>
                <c:pt idx="9">
                  <c:v>138</c:v>
                </c:pt>
                <c:pt idx="10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4B-472F-B8D1-D794FDB12F44}"/>
            </c:ext>
          </c:extLst>
        </c:ser>
        <c:ser>
          <c:idx val="6"/>
          <c:order val="6"/>
          <c:spPr>
            <a:ln w="12700">
              <a:solidFill>
                <a:srgbClr val="3333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Plotting!$C$9:$M$9</c:f>
              <c:numCache>
                <c:formatCode>General</c:formatCode>
                <c:ptCount val="11"/>
                <c:pt idx="0">
                  <c:v>314</c:v>
                </c:pt>
                <c:pt idx="1">
                  <c:v>288</c:v>
                </c:pt>
                <c:pt idx="2">
                  <c:v>264</c:v>
                </c:pt>
                <c:pt idx="3">
                  <c:v>242</c:v>
                </c:pt>
                <c:pt idx="4">
                  <c:v>224</c:v>
                </c:pt>
                <c:pt idx="5">
                  <c:v>208</c:v>
                </c:pt>
                <c:pt idx="6">
                  <c:v>194</c:v>
                </c:pt>
                <c:pt idx="7">
                  <c:v>184</c:v>
                </c:pt>
                <c:pt idx="8">
                  <c:v>176</c:v>
                </c:pt>
                <c:pt idx="9">
                  <c:v>170</c:v>
                </c:pt>
                <c:pt idx="10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4B-472F-B8D1-D794FDB12F44}"/>
            </c:ext>
          </c:extLst>
        </c:ser>
        <c:ser>
          <c:idx val="7"/>
          <c:order val="7"/>
          <c:spPr>
            <a:ln w="12700">
              <a:solidFill>
                <a:srgbClr val="3366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Plotting!$C$10:$M$10</c:f>
              <c:numCache>
                <c:formatCode>General</c:formatCode>
                <c:ptCount val="11"/>
                <c:pt idx="0">
                  <c:v>344</c:v>
                </c:pt>
                <c:pt idx="1">
                  <c:v>318</c:v>
                </c:pt>
                <c:pt idx="2">
                  <c:v>294</c:v>
                </c:pt>
                <c:pt idx="3">
                  <c:v>273</c:v>
                </c:pt>
                <c:pt idx="4">
                  <c:v>255</c:v>
                </c:pt>
                <c:pt idx="5">
                  <c:v>239</c:v>
                </c:pt>
                <c:pt idx="6">
                  <c:v>226</c:v>
                </c:pt>
                <c:pt idx="7">
                  <c:v>215</c:v>
                </c:pt>
                <c:pt idx="8">
                  <c:v>208</c:v>
                </c:pt>
                <c:pt idx="9">
                  <c:v>202</c:v>
                </c:pt>
                <c:pt idx="10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74B-472F-B8D1-D794FDB12F44}"/>
            </c:ext>
          </c:extLst>
        </c:ser>
        <c:ser>
          <c:idx val="8"/>
          <c:order val="8"/>
          <c:spPr>
            <a:ln w="12700">
              <a:solidFill>
                <a:srgbClr val="008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Plotting!$C$11:$M$11</c:f>
              <c:numCache>
                <c:formatCode>General</c:formatCode>
                <c:ptCount val="11"/>
                <c:pt idx="0">
                  <c:v>374</c:v>
                </c:pt>
                <c:pt idx="1">
                  <c:v>349</c:v>
                </c:pt>
                <c:pt idx="2">
                  <c:v>326</c:v>
                </c:pt>
                <c:pt idx="3">
                  <c:v>305</c:v>
                </c:pt>
                <c:pt idx="4">
                  <c:v>287</c:v>
                </c:pt>
                <c:pt idx="5">
                  <c:v>271</c:v>
                </c:pt>
                <c:pt idx="6">
                  <c:v>258</c:v>
                </c:pt>
                <c:pt idx="7">
                  <c:v>248</c:v>
                </c:pt>
                <c:pt idx="8">
                  <c:v>240</c:v>
                </c:pt>
                <c:pt idx="9">
                  <c:v>235</c:v>
                </c:pt>
                <c:pt idx="10">
                  <c:v>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74B-472F-B8D1-D794FDB12F44}"/>
            </c:ext>
          </c:extLst>
        </c:ser>
        <c:ser>
          <c:idx val="9"/>
          <c:order val="9"/>
          <c:spPr>
            <a:ln w="12700">
              <a:solidFill>
                <a:srgbClr val="FF99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Plotting!$C$12:$M$12</c:f>
              <c:numCache>
                <c:formatCode>General</c:formatCode>
                <c:ptCount val="11"/>
                <c:pt idx="0">
                  <c:v>403</c:v>
                </c:pt>
                <c:pt idx="1">
                  <c:v>378</c:v>
                </c:pt>
                <c:pt idx="2">
                  <c:v>355</c:v>
                </c:pt>
                <c:pt idx="3">
                  <c:v>335</c:v>
                </c:pt>
                <c:pt idx="4">
                  <c:v>317</c:v>
                </c:pt>
                <c:pt idx="5">
                  <c:v>302</c:v>
                </c:pt>
                <c:pt idx="6">
                  <c:v>289</c:v>
                </c:pt>
                <c:pt idx="7">
                  <c:v>279</c:v>
                </c:pt>
                <c:pt idx="8">
                  <c:v>271</c:v>
                </c:pt>
                <c:pt idx="9">
                  <c:v>266</c:v>
                </c:pt>
                <c:pt idx="10">
                  <c:v>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74B-472F-B8D1-D794FDB12F44}"/>
            </c:ext>
          </c:extLst>
        </c:ser>
        <c:ser>
          <c:idx val="10"/>
          <c:order val="10"/>
          <c:spPr>
            <a:ln w="12700">
              <a:solidFill>
                <a:srgbClr val="FF66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Plotting!$C$13:$M$13</c:f>
              <c:numCache>
                <c:formatCode>General</c:formatCode>
                <c:ptCount val="11"/>
                <c:pt idx="0">
                  <c:v>431</c:v>
                </c:pt>
                <c:pt idx="1">
                  <c:v>406</c:v>
                </c:pt>
                <c:pt idx="2">
                  <c:v>384</c:v>
                </c:pt>
                <c:pt idx="3">
                  <c:v>364</c:v>
                </c:pt>
                <c:pt idx="4">
                  <c:v>347</c:v>
                </c:pt>
                <c:pt idx="5">
                  <c:v>332</c:v>
                </c:pt>
                <c:pt idx="6">
                  <c:v>319</c:v>
                </c:pt>
                <c:pt idx="7">
                  <c:v>309</c:v>
                </c:pt>
                <c:pt idx="8">
                  <c:v>302</c:v>
                </c:pt>
                <c:pt idx="9">
                  <c:v>296</c:v>
                </c:pt>
                <c:pt idx="10">
                  <c:v>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74B-472F-B8D1-D794FDB12F44}"/>
            </c:ext>
          </c:extLst>
        </c:ser>
        <c:ser>
          <c:idx val="11"/>
          <c:order val="1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val>
            <c:numRef>
              <c:f>Plotting!$C$14:$M$14</c:f>
              <c:numCache>
                <c:formatCode>General</c:formatCode>
                <c:ptCount val="11"/>
                <c:pt idx="0">
                  <c:v>459</c:v>
                </c:pt>
                <c:pt idx="1">
                  <c:v>435</c:v>
                </c:pt>
                <c:pt idx="2">
                  <c:v>413</c:v>
                </c:pt>
                <c:pt idx="3">
                  <c:v>394</c:v>
                </c:pt>
                <c:pt idx="4">
                  <c:v>377</c:v>
                </c:pt>
                <c:pt idx="5">
                  <c:v>362</c:v>
                </c:pt>
                <c:pt idx="6">
                  <c:v>350</c:v>
                </c:pt>
                <c:pt idx="7">
                  <c:v>340</c:v>
                </c:pt>
                <c:pt idx="8">
                  <c:v>333</c:v>
                </c:pt>
                <c:pt idx="9">
                  <c:v>328</c:v>
                </c:pt>
                <c:pt idx="10">
                  <c:v>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74B-472F-B8D1-D794FDB12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1413088"/>
        <c:axId val="1"/>
      </c:lineChart>
      <c:catAx>
        <c:axId val="1231413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Location 
Inside surface=1</a:t>
                </a:r>
              </a:p>
            </c:rich>
          </c:tx>
          <c:layout>
            <c:manualLayout>
              <c:xMode val="edge"/>
              <c:yMode val="edge"/>
              <c:x val="0.41587908302514576"/>
              <c:y val="0.8911854725288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Wall temperature   </a:t>
                </a:r>
              </a:p>
            </c:rich>
          </c:tx>
          <c:layout>
            <c:manualLayout>
              <c:xMode val="edge"/>
              <c:yMode val="edge"/>
              <c:x val="6.0098133385136671E-2"/>
              <c:y val="0.435388322456818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14130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16</xdr:row>
      <xdr:rowOff>114300</xdr:rowOff>
    </xdr:from>
    <xdr:to>
      <xdr:col>7</xdr:col>
      <xdr:colOff>565150</xdr:colOff>
      <xdr:row>46</xdr:row>
      <xdr:rowOff>6350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DCFAA4E5-26F4-D51F-AC21-93B7C63F5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412750</xdr:colOff>
          <xdr:row>30</xdr:row>
          <xdr:rowOff>76200</xdr:rowOff>
        </xdr:from>
        <xdr:to>
          <xdr:col>10</xdr:col>
          <xdr:colOff>31750</xdr:colOff>
          <xdr:row>35</xdr:row>
          <xdr:rowOff>0</xdr:rowOff>
        </xdr:to>
        <xdr:sp macro="" textlink="">
          <xdr:nvSpPr>
            <xdr:cNvPr id="2049" name="Pictur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298450</xdr:colOff>
          <xdr:row>36</xdr:row>
          <xdr:rowOff>101600</xdr:rowOff>
        </xdr:from>
        <xdr:to>
          <xdr:col>4</xdr:col>
          <xdr:colOff>273050</xdr:colOff>
          <xdr:row>38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15</xdr:row>
          <xdr:rowOff>38100</xdr:rowOff>
        </xdr:from>
        <xdr:to>
          <xdr:col>6</xdr:col>
          <xdr:colOff>76200</xdr:colOff>
          <xdr:row>19</xdr:row>
          <xdr:rowOff>0</xdr:rowOff>
        </xdr:to>
        <xdr:sp macro="" textlink="">
          <xdr:nvSpPr>
            <xdr:cNvPr id="2051" name="Pictur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508000</xdr:colOff>
          <xdr:row>15</xdr:row>
          <xdr:rowOff>6350</xdr:rowOff>
        </xdr:from>
        <xdr:to>
          <xdr:col>11</xdr:col>
          <xdr:colOff>488950</xdr:colOff>
          <xdr:row>19</xdr:row>
          <xdr:rowOff>38100</xdr:rowOff>
        </xdr:to>
        <xdr:sp macro="" textlink="">
          <xdr:nvSpPr>
            <xdr:cNvPr id="2053" name="Pictur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2888-AC48-4D24-B10C-FCB032C6480B}">
  <dimension ref="B2:H51"/>
  <sheetViews>
    <sheetView showGridLines="0" tabSelected="1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2.5" x14ac:dyDescent="0.25"/>
  <cols>
    <col min="1" max="1" width="5.453125" customWidth="1"/>
    <col min="2" max="2" width="12.26953125" customWidth="1"/>
    <col min="6" max="6" width="12.26953125" customWidth="1"/>
  </cols>
  <sheetData>
    <row r="2" spans="2:8" ht="15.5" x14ac:dyDescent="0.35">
      <c r="B2" s="137" t="s">
        <v>241</v>
      </c>
      <c r="C2" s="138"/>
      <c r="D2" s="138"/>
      <c r="E2" s="138"/>
      <c r="F2" s="139"/>
      <c r="H2" s="1" t="s">
        <v>262</v>
      </c>
    </row>
    <row r="3" spans="2:8" ht="13" x14ac:dyDescent="0.3">
      <c r="B3" s="140" t="s">
        <v>0</v>
      </c>
      <c r="C3" s="141"/>
      <c r="D3" s="141"/>
      <c r="E3" s="141"/>
      <c r="F3" s="142"/>
      <c r="H3" s="101" t="s">
        <v>1</v>
      </c>
    </row>
    <row r="4" spans="2:8" x14ac:dyDescent="0.25">
      <c r="B4" s="102" t="s">
        <v>2</v>
      </c>
      <c r="C4" s="102"/>
      <c r="F4" s="103"/>
      <c r="H4" s="102" t="s">
        <v>3</v>
      </c>
    </row>
    <row r="5" spans="2:8" x14ac:dyDescent="0.25">
      <c r="B5" s="104"/>
      <c r="C5" s="102"/>
      <c r="F5" s="103"/>
    </row>
    <row r="6" spans="2:8" x14ac:dyDescent="0.25">
      <c r="F6" s="103"/>
    </row>
    <row r="7" spans="2:8" ht="13" x14ac:dyDescent="0.3">
      <c r="B7" s="105" t="s">
        <v>4</v>
      </c>
    </row>
    <row r="8" spans="2:8" x14ac:dyDescent="0.25">
      <c r="B8" t="s">
        <v>5</v>
      </c>
    </row>
    <row r="9" spans="2:8" x14ac:dyDescent="0.25">
      <c r="B9" s="106"/>
    </row>
    <row r="10" spans="2:8" ht="13" x14ac:dyDescent="0.3">
      <c r="B10" t="s">
        <v>6</v>
      </c>
    </row>
    <row r="11" spans="2:8" ht="13" x14ac:dyDescent="0.3">
      <c r="B11" s="68" t="s">
        <v>7</v>
      </c>
    </row>
    <row r="12" spans="2:8" x14ac:dyDescent="0.25">
      <c r="B12" s="106" t="s">
        <v>8</v>
      </c>
    </row>
    <row r="13" spans="2:8" ht="14.5" x14ac:dyDescent="0.25">
      <c r="B13" s="177" t="s">
        <v>9</v>
      </c>
    </row>
    <row r="15" spans="2:8" x14ac:dyDescent="0.25">
      <c r="B15" t="s">
        <v>10</v>
      </c>
    </row>
    <row r="16" spans="2:8" x14ac:dyDescent="0.25">
      <c r="B16" t="s">
        <v>11</v>
      </c>
    </row>
    <row r="17" spans="2:3" ht="13" x14ac:dyDescent="0.3">
      <c r="B17" t="s">
        <v>12</v>
      </c>
    </row>
    <row r="18" spans="2:3" x14ac:dyDescent="0.25">
      <c r="B18" t="s">
        <v>13</v>
      </c>
    </row>
    <row r="20" spans="2:3" ht="13" x14ac:dyDescent="0.3">
      <c r="B20" s="68" t="s">
        <v>14</v>
      </c>
    </row>
    <row r="21" spans="2:3" x14ac:dyDescent="0.25">
      <c r="B21" t="s">
        <v>15</v>
      </c>
    </row>
    <row r="22" spans="2:3" x14ac:dyDescent="0.25">
      <c r="B22" t="s">
        <v>16</v>
      </c>
    </row>
    <row r="24" spans="2:3" ht="13" x14ac:dyDescent="0.3">
      <c r="B24" s="68" t="s">
        <v>17</v>
      </c>
    </row>
    <row r="25" spans="2:3" x14ac:dyDescent="0.25">
      <c r="B25" t="s">
        <v>18</v>
      </c>
    </row>
    <row r="26" spans="2:3" x14ac:dyDescent="0.25">
      <c r="B26" t="s">
        <v>19</v>
      </c>
    </row>
    <row r="27" spans="2:3" x14ac:dyDescent="0.25">
      <c r="B27" t="s">
        <v>20</v>
      </c>
    </row>
    <row r="28" spans="2:3" x14ac:dyDescent="0.25">
      <c r="B28" t="s">
        <v>21</v>
      </c>
    </row>
    <row r="29" spans="2:3" x14ac:dyDescent="0.25">
      <c r="B29" t="s">
        <v>22</v>
      </c>
    </row>
    <row r="30" spans="2:3" x14ac:dyDescent="0.25">
      <c r="B30" t="s">
        <v>23</v>
      </c>
    </row>
    <row r="32" spans="2:3" x14ac:dyDescent="0.25">
      <c r="B32" s="185" t="s">
        <v>24</v>
      </c>
      <c r="C32" s="185"/>
    </row>
    <row r="34" spans="2:2" ht="13" x14ac:dyDescent="0.3">
      <c r="B34" t="s">
        <v>25</v>
      </c>
    </row>
    <row r="35" spans="2:2" x14ac:dyDescent="0.25">
      <c r="B35" t="s">
        <v>26</v>
      </c>
    </row>
    <row r="36" spans="2:2" ht="13" x14ac:dyDescent="0.3">
      <c r="B36" t="s">
        <v>27</v>
      </c>
    </row>
    <row r="37" spans="2:2" ht="13" x14ac:dyDescent="0.3">
      <c r="B37" s="68" t="s">
        <v>28</v>
      </c>
    </row>
    <row r="38" spans="2:2" x14ac:dyDescent="0.25">
      <c r="B38" t="s">
        <v>29</v>
      </c>
    </row>
    <row r="39" spans="2:2" x14ac:dyDescent="0.25">
      <c r="B39" t="s">
        <v>30</v>
      </c>
    </row>
    <row r="41" spans="2:2" x14ac:dyDescent="0.25">
      <c r="B41" t="s">
        <v>31</v>
      </c>
    </row>
    <row r="42" spans="2:2" x14ac:dyDescent="0.25">
      <c r="B42" t="s">
        <v>32</v>
      </c>
    </row>
    <row r="43" spans="2:2" x14ac:dyDescent="0.25">
      <c r="B43" t="s">
        <v>33</v>
      </c>
    </row>
    <row r="44" spans="2:2" x14ac:dyDescent="0.25">
      <c r="B44" t="s">
        <v>34</v>
      </c>
    </row>
    <row r="46" spans="2:2" ht="13" x14ac:dyDescent="0.3">
      <c r="B46" t="s">
        <v>35</v>
      </c>
    </row>
    <row r="47" spans="2:2" x14ac:dyDescent="0.25">
      <c r="B47" t="s">
        <v>36</v>
      </c>
    </row>
    <row r="48" spans="2:2" ht="13" x14ac:dyDescent="0.3">
      <c r="B48" t="s">
        <v>37</v>
      </c>
    </row>
    <row r="49" spans="2:2" ht="13" x14ac:dyDescent="0.3">
      <c r="B49" t="s">
        <v>38</v>
      </c>
    </row>
    <row r="50" spans="2:2" x14ac:dyDescent="0.25">
      <c r="B50" t="s">
        <v>39</v>
      </c>
    </row>
    <row r="51" spans="2:2" x14ac:dyDescent="0.25">
      <c r="B51" t="s">
        <v>40</v>
      </c>
    </row>
  </sheetData>
  <sheetProtection password="C7BC" sheet="1" objects="1" scenario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ECAC5-CC92-4926-8041-07C217ADCBBC}">
  <dimension ref="A1:N42"/>
  <sheetViews>
    <sheetView showGridLines="0" workbookViewId="0">
      <selection activeCell="C20" sqref="C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2.5" x14ac:dyDescent="0.25"/>
  <cols>
    <col min="1" max="1" width="8.26953125" customWidth="1"/>
    <col min="10" max="10" width="9.453125" customWidth="1"/>
  </cols>
  <sheetData>
    <row r="1" spans="1:14" ht="13" thickBot="1" x14ac:dyDescent="0.3"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</row>
    <row r="2" spans="1:14" ht="13.5" thickTop="1" x14ac:dyDescent="0.3">
      <c r="A2" s="85" t="s">
        <v>41</v>
      </c>
      <c r="B2" s="178" t="s">
        <v>42</v>
      </c>
      <c r="C2" s="178" t="s">
        <v>43</v>
      </c>
      <c r="D2" s="178" t="s">
        <v>44</v>
      </c>
      <c r="E2" s="178" t="s">
        <v>45</v>
      </c>
      <c r="F2" s="178" t="s">
        <v>46</v>
      </c>
      <c r="G2" s="178" t="s">
        <v>47</v>
      </c>
      <c r="H2" s="178" t="s">
        <v>48</v>
      </c>
      <c r="I2" s="178" t="s">
        <v>49</v>
      </c>
      <c r="J2" s="178" t="s">
        <v>50</v>
      </c>
      <c r="K2" s="178" t="s">
        <v>51</v>
      </c>
      <c r="L2" s="178" t="s">
        <v>52</v>
      </c>
      <c r="M2" s="178" t="s">
        <v>53</v>
      </c>
      <c r="N2" s="83"/>
    </row>
    <row r="3" spans="1:14" ht="13" x14ac:dyDescent="0.3">
      <c r="A3" s="85" t="s">
        <v>54</v>
      </c>
      <c r="B3" s="178">
        <v>0</v>
      </c>
      <c r="C3" s="178">
        <v>20</v>
      </c>
      <c r="D3" s="178">
        <v>20</v>
      </c>
      <c r="E3" s="178">
        <v>20</v>
      </c>
      <c r="F3" s="178">
        <v>20</v>
      </c>
      <c r="G3" s="178">
        <v>20</v>
      </c>
      <c r="H3" s="178">
        <v>20</v>
      </c>
      <c r="I3" s="178">
        <v>20</v>
      </c>
      <c r="J3" s="178">
        <v>20</v>
      </c>
      <c r="K3" s="178">
        <v>20</v>
      </c>
      <c r="L3" s="178">
        <v>20</v>
      </c>
      <c r="M3" s="178">
        <v>20</v>
      </c>
      <c r="N3" s="83"/>
    </row>
    <row r="4" spans="1:14" ht="13" x14ac:dyDescent="0.3">
      <c r="A4" s="85" t="s">
        <v>55</v>
      </c>
      <c r="B4" s="178">
        <v>0.13900000000000001</v>
      </c>
      <c r="C4" s="178">
        <v>130</v>
      </c>
      <c r="D4" s="178">
        <v>103</v>
      </c>
      <c r="E4" s="178">
        <v>81</v>
      </c>
      <c r="F4" s="178">
        <v>63</v>
      </c>
      <c r="G4" s="178">
        <v>50</v>
      </c>
      <c r="H4" s="178">
        <v>40</v>
      </c>
      <c r="I4" s="178">
        <v>33</v>
      </c>
      <c r="J4" s="178">
        <v>28</v>
      </c>
      <c r="K4" s="178">
        <v>25</v>
      </c>
      <c r="L4" s="178">
        <v>23</v>
      </c>
      <c r="M4" s="178">
        <v>22</v>
      </c>
      <c r="N4" s="83"/>
    </row>
    <row r="5" spans="1:14" ht="13" x14ac:dyDescent="0.3">
      <c r="A5" s="85" t="s">
        <v>56</v>
      </c>
      <c r="B5" s="178">
        <v>0.28399999999999997</v>
      </c>
      <c r="C5" s="178">
        <v>179</v>
      </c>
      <c r="D5" s="178">
        <v>152</v>
      </c>
      <c r="E5" s="178">
        <v>128</v>
      </c>
      <c r="F5" s="178">
        <v>107</v>
      </c>
      <c r="G5" s="178">
        <v>89</v>
      </c>
      <c r="H5" s="178">
        <v>74</v>
      </c>
      <c r="I5" s="178">
        <v>63</v>
      </c>
      <c r="J5" s="178">
        <v>54</v>
      </c>
      <c r="K5" s="178">
        <v>47</v>
      </c>
      <c r="L5" s="178">
        <v>43</v>
      </c>
      <c r="M5" s="178">
        <v>41</v>
      </c>
      <c r="N5" s="83"/>
    </row>
    <row r="6" spans="1:14" x14ac:dyDescent="0.25">
      <c r="A6" s="170" t="s">
        <v>57</v>
      </c>
      <c r="B6" s="178">
        <v>0.42799999999999999</v>
      </c>
      <c r="C6" s="178">
        <v>217</v>
      </c>
      <c r="D6" s="178">
        <v>190</v>
      </c>
      <c r="E6" s="178">
        <v>165</v>
      </c>
      <c r="F6" s="178">
        <v>143</v>
      </c>
      <c r="G6" s="178">
        <v>124</v>
      </c>
      <c r="H6" s="178">
        <v>108</v>
      </c>
      <c r="I6" s="178">
        <v>95</v>
      </c>
      <c r="J6" s="178">
        <v>85</v>
      </c>
      <c r="K6" s="178">
        <v>77</v>
      </c>
      <c r="L6" s="178">
        <v>72</v>
      </c>
      <c r="M6" s="178">
        <v>69</v>
      </c>
      <c r="N6" s="83"/>
    </row>
    <row r="7" spans="1:14" x14ac:dyDescent="0.25">
      <c r="A7" s="170" t="s">
        <v>58</v>
      </c>
      <c r="B7" s="178">
        <v>0.57899999999999996</v>
      </c>
      <c r="C7" s="178">
        <v>252</v>
      </c>
      <c r="D7" s="178">
        <v>225</v>
      </c>
      <c r="E7" s="178">
        <v>200</v>
      </c>
      <c r="F7" s="178">
        <v>178</v>
      </c>
      <c r="G7" s="178">
        <v>159</v>
      </c>
      <c r="H7" s="178">
        <v>143</v>
      </c>
      <c r="I7" s="178">
        <v>129</v>
      </c>
      <c r="J7" s="178">
        <v>119</v>
      </c>
      <c r="K7" s="178">
        <v>110</v>
      </c>
      <c r="L7" s="178">
        <v>105</v>
      </c>
      <c r="M7" s="178">
        <v>102</v>
      </c>
      <c r="N7" s="83"/>
    </row>
    <row r="8" spans="1:14" x14ac:dyDescent="0.25">
      <c r="A8" s="81"/>
      <c r="B8" s="178">
        <v>0.72399999999999998</v>
      </c>
      <c r="C8" s="178">
        <v>284</v>
      </c>
      <c r="D8" s="178">
        <v>257</v>
      </c>
      <c r="E8" s="178">
        <v>232</v>
      </c>
      <c r="F8" s="178">
        <v>211</v>
      </c>
      <c r="G8" s="178">
        <v>192</v>
      </c>
      <c r="H8" s="178">
        <v>176</v>
      </c>
      <c r="I8" s="178">
        <v>162</v>
      </c>
      <c r="J8" s="178">
        <v>151</v>
      </c>
      <c r="K8" s="178">
        <v>143</v>
      </c>
      <c r="L8" s="178">
        <v>138</v>
      </c>
      <c r="M8" s="178">
        <v>135</v>
      </c>
      <c r="N8" s="83"/>
    </row>
    <row r="9" spans="1:14" x14ac:dyDescent="0.25">
      <c r="A9" s="81"/>
      <c r="B9" s="178">
        <v>0.86899999999999999</v>
      </c>
      <c r="C9" s="178">
        <v>314</v>
      </c>
      <c r="D9" s="178">
        <v>288</v>
      </c>
      <c r="E9" s="178">
        <v>264</v>
      </c>
      <c r="F9" s="178">
        <v>242</v>
      </c>
      <c r="G9" s="178">
        <v>224</v>
      </c>
      <c r="H9" s="178">
        <v>208</v>
      </c>
      <c r="I9" s="178">
        <v>194</v>
      </c>
      <c r="J9" s="178">
        <v>184</v>
      </c>
      <c r="K9" s="178">
        <v>176</v>
      </c>
      <c r="L9" s="178">
        <v>170</v>
      </c>
      <c r="M9" s="178">
        <v>167</v>
      </c>
      <c r="N9" s="83"/>
    </row>
    <row r="10" spans="1:14" x14ac:dyDescent="0.25">
      <c r="A10" s="81"/>
      <c r="B10" s="178">
        <v>1.014</v>
      </c>
      <c r="C10" s="178">
        <v>344</v>
      </c>
      <c r="D10" s="178">
        <v>318</v>
      </c>
      <c r="E10" s="178">
        <v>294</v>
      </c>
      <c r="F10" s="178">
        <v>273</v>
      </c>
      <c r="G10" s="178">
        <v>255</v>
      </c>
      <c r="H10" s="178">
        <v>239</v>
      </c>
      <c r="I10" s="178">
        <v>226</v>
      </c>
      <c r="J10" s="178">
        <v>215</v>
      </c>
      <c r="K10" s="178">
        <v>208</v>
      </c>
      <c r="L10" s="178">
        <v>202</v>
      </c>
      <c r="M10" s="178">
        <v>200</v>
      </c>
      <c r="N10" s="83"/>
    </row>
    <row r="11" spans="1:14" x14ac:dyDescent="0.25">
      <c r="A11" s="81"/>
      <c r="B11" s="178">
        <v>1.1639999999999999</v>
      </c>
      <c r="C11" s="178">
        <v>374</v>
      </c>
      <c r="D11" s="178">
        <v>349</v>
      </c>
      <c r="E11" s="178">
        <v>326</v>
      </c>
      <c r="F11" s="178">
        <v>305</v>
      </c>
      <c r="G11" s="178">
        <v>287</v>
      </c>
      <c r="H11" s="178">
        <v>271</v>
      </c>
      <c r="I11" s="178">
        <v>258</v>
      </c>
      <c r="J11" s="178">
        <v>248</v>
      </c>
      <c r="K11" s="178">
        <v>240</v>
      </c>
      <c r="L11" s="178">
        <v>235</v>
      </c>
      <c r="M11" s="178">
        <v>232</v>
      </c>
      <c r="N11" s="83"/>
    </row>
    <row r="12" spans="1:14" x14ac:dyDescent="0.25">
      <c r="A12" s="81"/>
      <c r="B12" s="178">
        <v>1.3089999999999999</v>
      </c>
      <c r="C12" s="178">
        <v>403</v>
      </c>
      <c r="D12" s="178">
        <v>378</v>
      </c>
      <c r="E12" s="178">
        <v>355</v>
      </c>
      <c r="F12" s="178">
        <v>335</v>
      </c>
      <c r="G12" s="178">
        <v>317</v>
      </c>
      <c r="H12" s="178">
        <v>302</v>
      </c>
      <c r="I12" s="178">
        <v>289</v>
      </c>
      <c r="J12" s="178">
        <v>279</v>
      </c>
      <c r="K12" s="178">
        <v>271</v>
      </c>
      <c r="L12" s="178">
        <v>266</v>
      </c>
      <c r="M12" s="178">
        <v>263</v>
      </c>
      <c r="N12" s="83"/>
    </row>
    <row r="13" spans="1:14" x14ac:dyDescent="0.25">
      <c r="A13" s="81"/>
      <c r="B13" s="178">
        <v>1.454</v>
      </c>
      <c r="C13" s="178">
        <v>431</v>
      </c>
      <c r="D13" s="178">
        <v>406</v>
      </c>
      <c r="E13" s="178">
        <v>384</v>
      </c>
      <c r="F13" s="178">
        <v>364</v>
      </c>
      <c r="G13" s="178">
        <v>347</v>
      </c>
      <c r="H13" s="178">
        <v>332</v>
      </c>
      <c r="I13" s="178">
        <v>319</v>
      </c>
      <c r="J13" s="178">
        <v>309</v>
      </c>
      <c r="K13" s="178">
        <v>302</v>
      </c>
      <c r="L13" s="178">
        <v>296</v>
      </c>
      <c r="M13" s="178">
        <v>294</v>
      </c>
      <c r="N13" s="83"/>
    </row>
    <row r="14" spans="1:14" ht="13" thickBot="1" x14ac:dyDescent="0.3">
      <c r="A14" s="81"/>
      <c r="B14" s="178">
        <v>1.605</v>
      </c>
      <c r="C14" s="178">
        <v>459</v>
      </c>
      <c r="D14" s="178">
        <v>435</v>
      </c>
      <c r="E14" s="178">
        <v>413</v>
      </c>
      <c r="F14" s="178">
        <v>394</v>
      </c>
      <c r="G14" s="178">
        <v>377</v>
      </c>
      <c r="H14" s="178">
        <v>362</v>
      </c>
      <c r="I14" s="178">
        <v>350</v>
      </c>
      <c r="J14" s="178">
        <v>340</v>
      </c>
      <c r="K14" s="178">
        <v>333</v>
      </c>
      <c r="L14" s="178">
        <v>328</v>
      </c>
      <c r="M14" s="178">
        <v>325</v>
      </c>
      <c r="N14" s="83"/>
    </row>
    <row r="15" spans="1:14" ht="13" thickTop="1" x14ac:dyDescent="0.25">
      <c r="B15" s="84" t="s">
        <v>59</v>
      </c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</row>
    <row r="30" spans="10:12" ht="13" thickBot="1" x14ac:dyDescent="0.3">
      <c r="J30" s="157" t="s">
        <v>60</v>
      </c>
      <c r="L30" s="89" t="s">
        <v>61</v>
      </c>
    </row>
    <row r="31" spans="10:12" ht="13" thickTop="1" x14ac:dyDescent="0.25">
      <c r="J31" s="158">
        <f>B14</f>
        <v>1.605</v>
      </c>
      <c r="K31" t="s">
        <v>62</v>
      </c>
      <c r="L31" s="87">
        <f>J31-J32</f>
        <v>0.15100000000000002</v>
      </c>
    </row>
    <row r="32" spans="10:12" x14ac:dyDescent="0.25">
      <c r="J32" s="159">
        <f>B13</f>
        <v>1.454</v>
      </c>
      <c r="L32" s="88">
        <f t="shared" ref="L32:L42" si="0">J32-J33</f>
        <v>0.14500000000000002</v>
      </c>
    </row>
    <row r="33" spans="10:12" x14ac:dyDescent="0.25">
      <c r="J33" s="160">
        <f>B12</f>
        <v>1.3089999999999999</v>
      </c>
      <c r="L33" s="88">
        <f t="shared" si="0"/>
        <v>0.14500000000000002</v>
      </c>
    </row>
    <row r="34" spans="10:12" x14ac:dyDescent="0.25">
      <c r="J34" s="161">
        <f>B11</f>
        <v>1.1639999999999999</v>
      </c>
      <c r="L34" s="88">
        <f t="shared" si="0"/>
        <v>0.14999999999999991</v>
      </c>
    </row>
    <row r="35" spans="10:12" x14ac:dyDescent="0.25">
      <c r="J35" s="162">
        <f>B10</f>
        <v>1.014</v>
      </c>
      <c r="L35" s="88">
        <f t="shared" si="0"/>
        <v>0.14500000000000002</v>
      </c>
    </row>
    <row r="36" spans="10:12" x14ac:dyDescent="0.25">
      <c r="J36" s="163">
        <f>B9</f>
        <v>0.86899999999999999</v>
      </c>
      <c r="L36" s="88">
        <f t="shared" si="0"/>
        <v>0.14500000000000002</v>
      </c>
    </row>
    <row r="37" spans="10:12" x14ac:dyDescent="0.25">
      <c r="J37" s="164">
        <f>B8</f>
        <v>0.72399999999999998</v>
      </c>
      <c r="L37" s="88">
        <f t="shared" si="0"/>
        <v>0.14500000000000002</v>
      </c>
    </row>
    <row r="38" spans="10:12" x14ac:dyDescent="0.25">
      <c r="J38" s="165">
        <f>B7</f>
        <v>0.57899999999999996</v>
      </c>
      <c r="L38" s="88">
        <f t="shared" si="0"/>
        <v>0.15099999999999997</v>
      </c>
    </row>
    <row r="39" spans="10:12" x14ac:dyDescent="0.25">
      <c r="J39" s="166">
        <f>B6</f>
        <v>0.42799999999999999</v>
      </c>
      <c r="L39" s="88">
        <f t="shared" si="0"/>
        <v>0.14400000000000002</v>
      </c>
    </row>
    <row r="40" spans="10:12" x14ac:dyDescent="0.25">
      <c r="J40" s="167">
        <f>B5</f>
        <v>0.28399999999999997</v>
      </c>
      <c r="L40" s="88">
        <f t="shared" si="0"/>
        <v>0.14499999999999996</v>
      </c>
    </row>
    <row r="41" spans="10:12" x14ac:dyDescent="0.25">
      <c r="J41" s="168">
        <f>B4</f>
        <v>0.13900000000000001</v>
      </c>
      <c r="L41" s="88">
        <f t="shared" si="0"/>
        <v>0.13900000000000001</v>
      </c>
    </row>
    <row r="42" spans="10:12" x14ac:dyDescent="0.25">
      <c r="J42" s="169">
        <f>B3</f>
        <v>0</v>
      </c>
      <c r="K42" t="s">
        <v>63</v>
      </c>
      <c r="L42" s="88">
        <f t="shared" si="0"/>
        <v>0</v>
      </c>
    </row>
  </sheetData>
  <sheetProtection password="C7BC" sheet="1" objects="1" scenarios="1"/>
  <phoneticPr fontId="0" type="noConversion"/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E444F-28C7-43EE-A19A-511C654ADCE3}">
  <dimension ref="B2:X40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2.5" x14ac:dyDescent="0.25"/>
  <cols>
    <col min="1" max="1" width="4.54296875" customWidth="1"/>
    <col min="2" max="2" width="11.7265625" customWidth="1"/>
    <col min="4" max="4" width="12.54296875" customWidth="1"/>
    <col min="5" max="5" width="10" customWidth="1"/>
    <col min="6" max="13" width="10.7265625" customWidth="1"/>
    <col min="14" max="14" width="10" customWidth="1"/>
    <col min="16" max="16" width="8.7265625" customWidth="1"/>
    <col min="17" max="17" width="8.1796875" customWidth="1"/>
    <col min="18" max="18" width="9.453125" customWidth="1"/>
    <col min="19" max="19" width="11" customWidth="1"/>
    <col min="20" max="20" width="12" customWidth="1"/>
    <col min="21" max="21" width="11.81640625" customWidth="1"/>
    <col min="22" max="23" width="8.81640625" customWidth="1"/>
    <col min="24" max="24" width="9" customWidth="1"/>
  </cols>
  <sheetData>
    <row r="2" spans="2:24" ht="13" thickBot="1" x14ac:dyDescent="0.3"/>
    <row r="3" spans="2:24" ht="13.5" thickBot="1" x14ac:dyDescent="0.35">
      <c r="B3" s="186" t="s">
        <v>64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8"/>
    </row>
    <row r="4" spans="2:24" x14ac:dyDescent="0.25">
      <c r="B4" s="49"/>
      <c r="C4" s="2"/>
      <c r="D4" s="4"/>
      <c r="E4" s="6"/>
      <c r="F4" s="6" t="s">
        <v>65</v>
      </c>
      <c r="G4" s="6" t="s">
        <v>65</v>
      </c>
      <c r="H4" s="6" t="s">
        <v>65</v>
      </c>
      <c r="I4" s="6" t="s">
        <v>66</v>
      </c>
      <c r="J4" s="6" t="s">
        <v>67</v>
      </c>
      <c r="K4" s="6" t="s">
        <v>68</v>
      </c>
      <c r="L4" s="47" t="s">
        <v>69</v>
      </c>
      <c r="M4" s="202" t="s">
        <v>76</v>
      </c>
      <c r="N4" s="47" t="s">
        <v>70</v>
      </c>
      <c r="O4" s="6" t="s">
        <v>71</v>
      </c>
      <c r="P4" s="6" t="s">
        <v>72</v>
      </c>
      <c r="Q4" s="130" t="s">
        <v>73</v>
      </c>
      <c r="R4" s="6" t="s">
        <v>74</v>
      </c>
      <c r="S4" s="130" t="s">
        <v>75</v>
      </c>
      <c r="T4" s="192" t="s">
        <v>246</v>
      </c>
      <c r="U4" s="192" t="s">
        <v>249</v>
      </c>
      <c r="V4" s="183" t="s">
        <v>71</v>
      </c>
      <c r="W4" s="183" t="s">
        <v>255</v>
      </c>
      <c r="X4" s="132" t="s">
        <v>255</v>
      </c>
    </row>
    <row r="5" spans="2:24" ht="13.5" x14ac:dyDescent="0.35">
      <c r="B5" s="49"/>
      <c r="C5" s="2"/>
      <c r="D5" s="4"/>
      <c r="E5" s="6" t="s">
        <v>77</v>
      </c>
      <c r="F5" s="6" t="s">
        <v>78</v>
      </c>
      <c r="G5" s="6" t="s">
        <v>79</v>
      </c>
      <c r="H5" s="6" t="s">
        <v>80</v>
      </c>
      <c r="I5" s="6" t="s">
        <v>81</v>
      </c>
      <c r="J5" s="6" t="s">
        <v>82</v>
      </c>
      <c r="K5" s="6">
        <v>4130</v>
      </c>
      <c r="L5" s="47" t="s">
        <v>83</v>
      </c>
      <c r="M5" s="203" t="s">
        <v>88</v>
      </c>
      <c r="N5" s="47" t="s">
        <v>84</v>
      </c>
      <c r="O5" s="6"/>
      <c r="P5" s="6" t="s">
        <v>85</v>
      </c>
      <c r="Q5" s="130"/>
      <c r="R5" s="6"/>
      <c r="S5" s="130" t="s">
        <v>86</v>
      </c>
      <c r="T5" s="193" t="s">
        <v>253</v>
      </c>
      <c r="U5" s="193" t="s">
        <v>252</v>
      </c>
      <c r="V5" s="183" t="s">
        <v>87</v>
      </c>
      <c r="W5" s="183"/>
      <c r="X5" s="132"/>
    </row>
    <row r="6" spans="2:24" ht="13" thickBot="1" x14ac:dyDescent="0.3">
      <c r="B6" s="79" t="s">
        <v>89</v>
      </c>
      <c r="C6" s="8" t="s">
        <v>90</v>
      </c>
      <c r="D6" s="7" t="s">
        <v>91</v>
      </c>
      <c r="E6" s="5" t="s">
        <v>92</v>
      </c>
      <c r="F6" s="46" t="s">
        <v>93</v>
      </c>
      <c r="G6" s="46" t="s">
        <v>93</v>
      </c>
      <c r="H6" s="46" t="s">
        <v>94</v>
      </c>
      <c r="I6" s="46" t="s">
        <v>93</v>
      </c>
      <c r="J6" s="46" t="s">
        <v>95</v>
      </c>
      <c r="K6" s="46" t="s">
        <v>242</v>
      </c>
      <c r="L6" s="48" t="s">
        <v>93</v>
      </c>
      <c r="M6" s="204" t="s">
        <v>100</v>
      </c>
      <c r="N6" s="48" t="s">
        <v>96</v>
      </c>
      <c r="O6" s="46" t="s">
        <v>93</v>
      </c>
      <c r="P6" s="46" t="s">
        <v>93</v>
      </c>
      <c r="Q6" s="131" t="s">
        <v>97</v>
      </c>
      <c r="R6" s="46" t="s">
        <v>98</v>
      </c>
      <c r="S6" s="131" t="s">
        <v>99</v>
      </c>
      <c r="T6" s="194" t="s">
        <v>247</v>
      </c>
      <c r="U6" s="194" t="s">
        <v>250</v>
      </c>
      <c r="V6" s="184" t="s">
        <v>94</v>
      </c>
      <c r="W6" s="184" t="s">
        <v>256</v>
      </c>
      <c r="X6" s="133" t="s">
        <v>257</v>
      </c>
    </row>
    <row r="7" spans="2:24" ht="13" thickTop="1" x14ac:dyDescent="0.25">
      <c r="B7" s="50" t="s">
        <v>101</v>
      </c>
      <c r="C7" s="9" t="s">
        <v>102</v>
      </c>
      <c r="D7" s="10" t="s">
        <v>103</v>
      </c>
      <c r="E7" s="70" t="s">
        <v>104</v>
      </c>
      <c r="F7" s="11">
        <f>933-273</f>
        <v>660</v>
      </c>
      <c r="G7" s="12">
        <f>775-273</f>
        <v>502</v>
      </c>
      <c r="H7" s="12">
        <v>582</v>
      </c>
      <c r="I7" s="12">
        <f>1188-273</f>
        <v>915</v>
      </c>
      <c r="J7" s="43">
        <f>(2780-32)/9*5</f>
        <v>1526.6666666666665</v>
      </c>
      <c r="K7" s="43">
        <f>(2700-32)/9*5</f>
        <v>1482.2222222222222</v>
      </c>
      <c r="L7" s="12">
        <v>1400</v>
      </c>
      <c r="M7" s="43">
        <v>1604</v>
      </c>
      <c r="N7" s="198">
        <f>450-273</f>
        <v>177</v>
      </c>
      <c r="O7" s="12"/>
      <c r="P7" s="12"/>
      <c r="Q7" s="122">
        <f>(425-32)/9*5</f>
        <v>218.33333333333331</v>
      </c>
      <c r="R7" s="122"/>
      <c r="S7" s="122">
        <v>3300</v>
      </c>
      <c r="T7" s="191">
        <v>1260</v>
      </c>
      <c r="U7" s="191">
        <v>1480</v>
      </c>
      <c r="V7" s="122"/>
      <c r="W7" s="122">
        <v>3300</v>
      </c>
      <c r="X7" s="51">
        <v>3300</v>
      </c>
    </row>
    <row r="8" spans="2:24" ht="14.5" x14ac:dyDescent="0.25">
      <c r="B8" s="52" t="s">
        <v>105</v>
      </c>
      <c r="C8" s="13" t="s">
        <v>106</v>
      </c>
      <c r="D8" s="14" t="s">
        <v>107</v>
      </c>
      <c r="E8" s="69">
        <v>27</v>
      </c>
      <c r="F8" s="15">
        <v>2.702</v>
      </c>
      <c r="G8" s="16">
        <v>2.77</v>
      </c>
      <c r="H8" s="16">
        <v>2.7</v>
      </c>
      <c r="I8" s="16">
        <v>8.5299999999999994</v>
      </c>
      <c r="J8" s="16">
        <v>7.8319999999999999</v>
      </c>
      <c r="K8" s="16">
        <v>7.84</v>
      </c>
      <c r="L8" s="16">
        <v>7.9</v>
      </c>
      <c r="M8" s="16">
        <v>4.43</v>
      </c>
      <c r="N8" s="199">
        <v>1.4</v>
      </c>
      <c r="O8" s="16">
        <v>0.93</v>
      </c>
      <c r="P8" s="16">
        <v>1.19</v>
      </c>
      <c r="Q8" s="123">
        <v>1.4</v>
      </c>
      <c r="R8" s="123">
        <v>1.26</v>
      </c>
      <c r="S8" s="123">
        <v>1.47</v>
      </c>
      <c r="T8" s="123">
        <v>0.64100000000000001</v>
      </c>
      <c r="U8" s="123">
        <v>1.76</v>
      </c>
      <c r="V8" s="123">
        <v>1.4</v>
      </c>
      <c r="W8" s="206">
        <v>1.1000000000000001</v>
      </c>
      <c r="X8" s="207">
        <v>1.1000000000000001</v>
      </c>
    </row>
    <row r="9" spans="2:24" x14ac:dyDescent="0.25">
      <c r="B9" s="56" t="s">
        <v>108</v>
      </c>
      <c r="C9" s="17" t="s">
        <v>109</v>
      </c>
      <c r="D9" s="18" t="s">
        <v>110</v>
      </c>
      <c r="E9" s="19">
        <v>27</v>
      </c>
      <c r="F9" s="20">
        <f>903/1000</f>
        <v>0.90300000000000002</v>
      </c>
      <c r="G9" s="21">
        <f>875/1000</f>
        <v>0.875</v>
      </c>
      <c r="H9" s="21">
        <v>0.89600000000000002</v>
      </c>
      <c r="I9" s="21">
        <v>0.38</v>
      </c>
      <c r="J9" s="21">
        <v>0.434</v>
      </c>
      <c r="K9" s="190">
        <v>0.434</v>
      </c>
      <c r="L9" s="22">
        <v>0.47699999999999998</v>
      </c>
      <c r="M9" s="21">
        <v>0.54500000000000004</v>
      </c>
      <c r="N9" s="20">
        <v>0.93500000000000005</v>
      </c>
      <c r="O9" s="21">
        <v>1.34</v>
      </c>
      <c r="P9" s="21">
        <v>2.0099999999999998</v>
      </c>
      <c r="Q9" s="124">
        <v>1.05</v>
      </c>
      <c r="R9" s="124"/>
      <c r="S9" s="124">
        <v>0.83799999999999997</v>
      </c>
      <c r="T9" s="124"/>
      <c r="U9" s="124"/>
      <c r="V9" s="124">
        <v>1.0014099999999999</v>
      </c>
      <c r="W9" s="124">
        <v>0.71099999999999997</v>
      </c>
      <c r="X9" s="57">
        <v>0.71099999999999997</v>
      </c>
    </row>
    <row r="10" spans="2:24" x14ac:dyDescent="0.25">
      <c r="B10" s="58"/>
      <c r="C10" s="24"/>
      <c r="D10" s="25"/>
      <c r="E10" s="26">
        <f>400-273</f>
        <v>127</v>
      </c>
      <c r="F10" s="27">
        <v>0.94899999999999995</v>
      </c>
      <c r="G10" s="28">
        <v>0.92500000000000004</v>
      </c>
      <c r="H10" s="28"/>
      <c r="I10" s="28">
        <v>0.39500000000000002</v>
      </c>
      <c r="J10" s="28">
        <v>0.48699999999999999</v>
      </c>
      <c r="K10" s="28">
        <v>0.49</v>
      </c>
      <c r="L10" s="29">
        <v>0.51500000000000001</v>
      </c>
      <c r="M10" s="28">
        <v>0.56599999999999995</v>
      </c>
      <c r="N10" s="27">
        <v>1.216</v>
      </c>
      <c r="O10" s="28"/>
      <c r="P10" s="28"/>
      <c r="Q10" s="125"/>
      <c r="R10" s="125"/>
      <c r="S10" s="125">
        <v>0.83799999999999997</v>
      </c>
      <c r="T10" s="125"/>
      <c r="U10" s="125"/>
      <c r="V10" s="125"/>
      <c r="W10" s="125"/>
      <c r="X10" s="59"/>
    </row>
    <row r="11" spans="2:24" x14ac:dyDescent="0.25">
      <c r="B11" s="58"/>
      <c r="C11" s="23"/>
      <c r="D11" s="25"/>
      <c r="E11" s="26">
        <f>600-273</f>
        <v>327</v>
      </c>
      <c r="F11" s="27">
        <v>1.0329999999999999</v>
      </c>
      <c r="G11" s="28">
        <v>1.042</v>
      </c>
      <c r="H11" s="28"/>
      <c r="I11" s="28">
        <v>0.42499999999999999</v>
      </c>
      <c r="J11" s="28">
        <v>0.55900000000000005</v>
      </c>
      <c r="K11" s="28">
        <v>0.56999999999999995</v>
      </c>
      <c r="L11" s="29">
        <v>0.55700000000000005</v>
      </c>
      <c r="M11" s="28">
        <v>0.60799999999999998</v>
      </c>
      <c r="N11" s="27"/>
      <c r="O11" s="28"/>
      <c r="P11" s="28"/>
      <c r="Q11" s="125"/>
      <c r="R11" s="125"/>
      <c r="S11" s="125">
        <v>0.92179999999999995</v>
      </c>
      <c r="T11" s="125"/>
      <c r="U11" s="125"/>
      <c r="V11" s="125"/>
      <c r="W11" s="125"/>
      <c r="X11" s="59"/>
    </row>
    <row r="12" spans="2:24" x14ac:dyDescent="0.25">
      <c r="B12" s="58"/>
      <c r="C12" s="23"/>
      <c r="D12" s="30"/>
      <c r="E12" s="26">
        <f>800-273</f>
        <v>527</v>
      </c>
      <c r="F12" s="27">
        <v>1.1459999999999999</v>
      </c>
      <c r="G12" s="28"/>
      <c r="H12" s="28"/>
      <c r="I12" s="28"/>
      <c r="J12" s="28">
        <v>0.68500000000000005</v>
      </c>
      <c r="K12" s="28">
        <v>0.67</v>
      </c>
      <c r="L12" s="29">
        <v>0.58199999999999996</v>
      </c>
      <c r="M12" s="28">
        <v>0.72499999999999998</v>
      </c>
      <c r="N12" s="27"/>
      <c r="O12" s="28"/>
      <c r="P12" s="28"/>
      <c r="Q12" s="125"/>
      <c r="R12" s="125"/>
      <c r="S12" s="125">
        <v>1.6759999999999999</v>
      </c>
      <c r="T12" s="125"/>
      <c r="U12" s="125"/>
      <c r="V12" s="125"/>
      <c r="W12" s="125"/>
      <c r="X12" s="59"/>
    </row>
    <row r="13" spans="2:24" x14ac:dyDescent="0.25">
      <c r="B13" s="58"/>
      <c r="C13" s="23"/>
      <c r="D13" s="30"/>
      <c r="E13" s="26">
        <v>727</v>
      </c>
      <c r="F13" s="27"/>
      <c r="G13" s="28"/>
      <c r="H13" s="28"/>
      <c r="I13" s="28"/>
      <c r="J13" s="28">
        <v>1.1679999999999999</v>
      </c>
      <c r="K13" s="28">
        <v>1.26</v>
      </c>
      <c r="L13" s="29">
        <v>0.61099999999999999</v>
      </c>
      <c r="M13" s="28">
        <v>0.85899999999999999</v>
      </c>
      <c r="N13" s="27"/>
      <c r="O13" s="28"/>
      <c r="P13" s="28"/>
      <c r="Q13" s="125"/>
      <c r="R13" s="125"/>
      <c r="S13" s="125">
        <v>1.9274</v>
      </c>
      <c r="T13" s="125"/>
      <c r="U13" s="125"/>
      <c r="V13" s="125"/>
      <c r="W13" s="125"/>
      <c r="X13" s="59"/>
    </row>
    <row r="14" spans="2:24" ht="13" thickBot="1" x14ac:dyDescent="0.3">
      <c r="B14" s="60"/>
      <c r="C14" s="61"/>
      <c r="D14" s="62"/>
      <c r="E14" s="63">
        <v>927</v>
      </c>
      <c r="F14" s="64"/>
      <c r="G14" s="65"/>
      <c r="H14" s="65"/>
      <c r="I14" s="65"/>
      <c r="J14" s="65"/>
      <c r="K14" s="65">
        <v>0.64</v>
      </c>
      <c r="L14" s="66">
        <v>0.64</v>
      </c>
      <c r="M14" s="65">
        <v>0.96399999999999997</v>
      </c>
      <c r="N14" s="64"/>
      <c r="O14" s="65"/>
      <c r="P14" s="65"/>
      <c r="Q14" s="126"/>
      <c r="R14" s="126"/>
      <c r="S14" s="126"/>
      <c r="T14" s="126"/>
      <c r="U14" s="126"/>
      <c r="V14" s="126"/>
      <c r="W14" s="126"/>
      <c r="X14" s="67"/>
    </row>
    <row r="15" spans="2:24" x14ac:dyDescent="0.25">
      <c r="B15" s="53" t="s">
        <v>111</v>
      </c>
      <c r="C15" s="31" t="s">
        <v>112</v>
      </c>
      <c r="D15" s="32" t="s">
        <v>113</v>
      </c>
      <c r="E15" s="33">
        <v>27</v>
      </c>
      <c r="F15" s="34">
        <v>237</v>
      </c>
      <c r="G15" s="35">
        <v>177</v>
      </c>
      <c r="H15" s="35">
        <v>167</v>
      </c>
      <c r="I15" s="35">
        <v>110</v>
      </c>
      <c r="J15" s="35">
        <v>63.9</v>
      </c>
      <c r="K15" s="35">
        <v>41.5</v>
      </c>
      <c r="L15" s="36">
        <v>14.9</v>
      </c>
      <c r="M15" s="36">
        <v>7.3</v>
      </c>
      <c r="N15" s="34">
        <v>0.87</v>
      </c>
      <c r="O15" s="35">
        <v>0.18</v>
      </c>
      <c r="P15" s="35">
        <v>0.16</v>
      </c>
      <c r="Q15" s="127">
        <v>0.5</v>
      </c>
      <c r="R15" s="127">
        <v>1.5</v>
      </c>
      <c r="S15" s="127">
        <v>0.35</v>
      </c>
      <c r="T15" s="197">
        <v>0.14399999999999999</v>
      </c>
      <c r="U15" s="197">
        <v>0.57599999999999996</v>
      </c>
      <c r="V15" s="127">
        <v>0.37</v>
      </c>
      <c r="W15" s="210">
        <v>140</v>
      </c>
      <c r="X15" s="209">
        <v>5</v>
      </c>
    </row>
    <row r="16" spans="2:24" x14ac:dyDescent="0.25">
      <c r="B16" s="54"/>
      <c r="C16" s="37"/>
      <c r="D16" s="38"/>
      <c r="E16" s="39">
        <f>400-273</f>
        <v>127</v>
      </c>
      <c r="F16" s="40">
        <v>240</v>
      </c>
      <c r="G16" s="41">
        <v>186</v>
      </c>
      <c r="H16" s="41"/>
      <c r="I16" s="41">
        <v>137</v>
      </c>
      <c r="J16" s="41">
        <v>58.7</v>
      </c>
      <c r="K16" s="41">
        <v>43.1</v>
      </c>
      <c r="L16" s="42">
        <v>16.600000000000001</v>
      </c>
      <c r="M16" s="41">
        <v>7.9</v>
      </c>
      <c r="N16" s="40">
        <v>1.1000000000000001</v>
      </c>
      <c r="O16" s="41"/>
      <c r="P16" s="41"/>
      <c r="Q16" s="128"/>
      <c r="R16" s="128"/>
      <c r="S16" s="128">
        <v>0.35</v>
      </c>
      <c r="T16" s="128"/>
      <c r="U16" s="128"/>
      <c r="V16" s="128"/>
      <c r="W16" s="128"/>
      <c r="X16" s="55"/>
    </row>
    <row r="17" spans="2:24" x14ac:dyDescent="0.25">
      <c r="B17" s="54"/>
      <c r="C17" s="37"/>
      <c r="D17" s="38"/>
      <c r="E17" s="39">
        <f>600-273</f>
        <v>327</v>
      </c>
      <c r="F17" s="40">
        <v>231</v>
      </c>
      <c r="G17" s="41">
        <v>186</v>
      </c>
      <c r="H17" s="41"/>
      <c r="I17" s="41">
        <v>149</v>
      </c>
      <c r="J17" s="41">
        <v>48.8</v>
      </c>
      <c r="K17" s="41">
        <v>40.299999999999997</v>
      </c>
      <c r="L17" s="42">
        <v>19.8</v>
      </c>
      <c r="M17" s="41">
        <v>10.6</v>
      </c>
      <c r="N17" s="40"/>
      <c r="O17" s="41"/>
      <c r="P17" s="41"/>
      <c r="Q17" s="128"/>
      <c r="R17" s="128"/>
      <c r="S17" s="128">
        <v>0.35</v>
      </c>
      <c r="T17" s="128"/>
      <c r="U17" s="128"/>
      <c r="V17" s="128"/>
      <c r="W17" s="128"/>
      <c r="X17" s="55"/>
    </row>
    <row r="18" spans="2:24" x14ac:dyDescent="0.25">
      <c r="B18" s="54"/>
      <c r="C18" s="37"/>
      <c r="D18" s="38"/>
      <c r="E18" s="39">
        <f>800-273</f>
        <v>527</v>
      </c>
      <c r="F18" s="40">
        <v>218</v>
      </c>
      <c r="G18" s="41"/>
      <c r="H18" s="41"/>
      <c r="I18" s="41"/>
      <c r="J18" s="41">
        <v>39.200000000000003</v>
      </c>
      <c r="K18" s="41">
        <v>35</v>
      </c>
      <c r="L18" s="42">
        <v>22.6</v>
      </c>
      <c r="M18" s="41">
        <v>13.4</v>
      </c>
      <c r="N18" s="40"/>
      <c r="O18" s="41"/>
      <c r="P18" s="41"/>
      <c r="Q18" s="128"/>
      <c r="R18" s="128"/>
      <c r="S18" s="128"/>
      <c r="T18" s="128"/>
      <c r="U18" s="128"/>
      <c r="V18" s="128"/>
      <c r="W18" s="128"/>
      <c r="X18" s="55"/>
    </row>
    <row r="19" spans="2:24" x14ac:dyDescent="0.25">
      <c r="B19" s="54"/>
      <c r="C19" s="37"/>
      <c r="D19" s="38"/>
      <c r="E19" s="39">
        <f>1000-273</f>
        <v>727</v>
      </c>
      <c r="F19" s="40"/>
      <c r="G19" s="41"/>
      <c r="H19" s="41"/>
      <c r="I19" s="41"/>
      <c r="J19" s="41">
        <v>31.1</v>
      </c>
      <c r="K19" s="41">
        <v>28.5</v>
      </c>
      <c r="L19" s="42">
        <v>25.4</v>
      </c>
      <c r="M19" s="41">
        <v>16.2</v>
      </c>
      <c r="N19" s="40"/>
      <c r="O19" s="41"/>
      <c r="P19" s="41"/>
      <c r="Q19" s="128"/>
      <c r="R19" s="128"/>
      <c r="S19" s="128"/>
      <c r="T19" s="128"/>
      <c r="U19" s="128"/>
      <c r="V19" s="128"/>
      <c r="W19" s="128"/>
      <c r="X19" s="55"/>
    </row>
    <row r="20" spans="2:24" ht="13" thickBot="1" x14ac:dyDescent="0.3">
      <c r="B20" s="71"/>
      <c r="C20" s="72"/>
      <c r="D20" s="73"/>
      <c r="E20" s="74">
        <f>1200-273</f>
        <v>927</v>
      </c>
      <c r="F20" s="75"/>
      <c r="G20" s="76"/>
      <c r="H20" s="76"/>
      <c r="I20" s="76"/>
      <c r="J20" s="77">
        <v>26.59</v>
      </c>
      <c r="K20" s="76">
        <v>27.7</v>
      </c>
      <c r="L20" s="77">
        <v>28</v>
      </c>
      <c r="M20" s="76">
        <v>18.8</v>
      </c>
      <c r="N20" s="200"/>
      <c r="O20" s="76"/>
      <c r="P20" s="76"/>
      <c r="Q20" s="129"/>
      <c r="R20" s="129"/>
      <c r="S20" s="129"/>
      <c r="T20" s="129"/>
      <c r="U20" s="129"/>
      <c r="V20" s="129"/>
      <c r="W20" s="129"/>
      <c r="X20" s="78"/>
    </row>
    <row r="21" spans="2:24" ht="15" thickBot="1" x14ac:dyDescent="0.3">
      <c r="B21" s="71" t="s">
        <v>114</v>
      </c>
      <c r="C21" s="113" t="s">
        <v>115</v>
      </c>
      <c r="D21" s="73" t="s">
        <v>116</v>
      </c>
      <c r="E21" s="74">
        <v>27</v>
      </c>
      <c r="F21" s="119">
        <f>F15/(F8*1000)/(F9*1000)*10000000</f>
        <v>971.34889622796936</v>
      </c>
      <c r="G21" s="119">
        <f t="shared" ref="G21:Q21" si="0">G15/(G8*1000)/(G9*1000)*10000000</f>
        <v>730.27333677153172</v>
      </c>
      <c r="H21" s="119">
        <f t="shared" si="0"/>
        <v>690.31084656084658</v>
      </c>
      <c r="I21" s="119">
        <f t="shared" si="0"/>
        <v>339.35953600296165</v>
      </c>
      <c r="J21" s="119">
        <f t="shared" si="0"/>
        <v>187.99160245336395</v>
      </c>
      <c r="K21" s="119">
        <f t="shared" si="0"/>
        <v>121.9669895608013</v>
      </c>
      <c r="L21" s="119">
        <f t="shared" si="0"/>
        <v>39.540376297003952</v>
      </c>
      <c r="M21" s="205">
        <f>M15/(M8*1000)/(M9*1000)*10000000</f>
        <v>30.235881293101659</v>
      </c>
      <c r="N21" s="201">
        <f t="shared" si="0"/>
        <v>6.6462948815889984</v>
      </c>
      <c r="O21" s="112">
        <f t="shared" si="0"/>
        <v>1.4443909484833894</v>
      </c>
      <c r="P21" s="120">
        <f t="shared" si="0"/>
        <v>0.66892428613236343</v>
      </c>
      <c r="Q21" s="121">
        <f t="shared" si="0"/>
        <v>3.4013605442176873</v>
      </c>
      <c r="R21" s="121"/>
      <c r="S21" s="121">
        <f>S15/(S8*1000)/(S9*1000)*10000000</f>
        <v>2.8412319581770653</v>
      </c>
      <c r="T21" s="121"/>
      <c r="U21" s="121"/>
      <c r="V21" s="121">
        <f>V15/(V8*1000)/(V9*1000)*10000000</f>
        <v>2.6391359611519194</v>
      </c>
      <c r="W21" s="211">
        <f>W15/(W8*1000)/(W9*1000)*10000000</f>
        <v>1790.0524229638152</v>
      </c>
      <c r="X21" s="121">
        <f>X15/(X8*1000)/(X9*1000)*10000000</f>
        <v>63.930443677279115</v>
      </c>
    </row>
    <row r="23" spans="2:24" x14ac:dyDescent="0.25">
      <c r="E23" s="1" t="s">
        <v>117</v>
      </c>
      <c r="F23" s="44" t="s">
        <v>93</v>
      </c>
      <c r="G23" s="1" t="s">
        <v>118</v>
      </c>
      <c r="H23" s="1"/>
    </row>
    <row r="24" spans="2:24" x14ac:dyDescent="0.25">
      <c r="E24" s="1"/>
      <c r="F24" s="44" t="s">
        <v>119</v>
      </c>
      <c r="G24" s="1" t="s">
        <v>120</v>
      </c>
      <c r="H24" s="1"/>
    </row>
    <row r="25" spans="2:24" x14ac:dyDescent="0.25">
      <c r="B25" s="143" t="s">
        <v>121</v>
      </c>
      <c r="C25" s="144"/>
      <c r="D25" s="145"/>
      <c r="F25" s="44" t="s">
        <v>122</v>
      </c>
      <c r="G25" s="1" t="s">
        <v>123</v>
      </c>
      <c r="H25" s="1"/>
    </row>
    <row r="26" spans="2:24" x14ac:dyDescent="0.25">
      <c r="B26" s="146" t="s">
        <v>124</v>
      </c>
      <c r="C26" s="147"/>
      <c r="D26" s="148"/>
      <c r="F26" s="44" t="s">
        <v>94</v>
      </c>
      <c r="G26" s="1" t="s">
        <v>125</v>
      </c>
      <c r="H26" s="1"/>
    </row>
    <row r="27" spans="2:24" x14ac:dyDescent="0.25">
      <c r="B27" s="146" t="s">
        <v>126</v>
      </c>
      <c r="C27" s="147"/>
      <c r="D27" s="148"/>
      <c r="F27" s="44" t="s">
        <v>127</v>
      </c>
      <c r="G27" s="1" t="s">
        <v>128</v>
      </c>
      <c r="H27" s="1"/>
    </row>
    <row r="28" spans="2:24" x14ac:dyDescent="0.25">
      <c r="B28" s="146" t="s">
        <v>129</v>
      </c>
      <c r="C28" s="147"/>
      <c r="D28" s="148"/>
      <c r="F28" s="44" t="s">
        <v>130</v>
      </c>
      <c r="G28" s="1" t="s">
        <v>131</v>
      </c>
      <c r="H28" s="1"/>
    </row>
    <row r="29" spans="2:24" x14ac:dyDescent="0.25">
      <c r="B29" s="146" t="s">
        <v>132</v>
      </c>
      <c r="C29" s="147"/>
      <c r="D29" s="148"/>
      <c r="F29" s="44" t="s">
        <v>133</v>
      </c>
      <c r="G29" s="1" t="s">
        <v>134</v>
      </c>
      <c r="H29" s="1"/>
    </row>
    <row r="30" spans="2:24" x14ac:dyDescent="0.25">
      <c r="B30" s="149" t="s">
        <v>135</v>
      </c>
      <c r="C30" s="147"/>
      <c r="D30" s="148"/>
      <c r="F30" s="44" t="s">
        <v>99</v>
      </c>
      <c r="G30" s="1" t="s">
        <v>136</v>
      </c>
      <c r="H30" s="1"/>
    </row>
    <row r="31" spans="2:24" ht="13" x14ac:dyDescent="0.3">
      <c r="B31" s="150" t="s">
        <v>137</v>
      </c>
      <c r="C31" s="151"/>
      <c r="D31" s="152"/>
      <c r="F31" s="44" t="s">
        <v>100</v>
      </c>
      <c r="G31" s="1" t="s">
        <v>138</v>
      </c>
      <c r="H31" s="1"/>
    </row>
    <row r="32" spans="2:24" ht="13" thickBot="1" x14ac:dyDescent="0.3">
      <c r="F32" s="44" t="s">
        <v>243</v>
      </c>
      <c r="G32" s="1" t="s">
        <v>244</v>
      </c>
    </row>
    <row r="33" spans="2:7" x14ac:dyDescent="0.25">
      <c r="B33" s="114" t="s">
        <v>139</v>
      </c>
      <c r="C33" s="115"/>
      <c r="D33" s="115"/>
      <c r="E33" s="116"/>
      <c r="F33" s="195" t="s">
        <v>247</v>
      </c>
      <c r="G33" s="196" t="s">
        <v>248</v>
      </c>
    </row>
    <row r="34" spans="2:7" ht="15.5" x14ac:dyDescent="0.35">
      <c r="B34" s="179">
        <v>1</v>
      </c>
      <c r="C34" t="s">
        <v>140</v>
      </c>
      <c r="D34">
        <f>B34*27.68</f>
        <v>27.68</v>
      </c>
      <c r="E34" s="117" t="s">
        <v>141</v>
      </c>
      <c r="F34" s="195" t="s">
        <v>250</v>
      </c>
      <c r="G34" s="196" t="s">
        <v>251</v>
      </c>
    </row>
    <row r="35" spans="2:7" x14ac:dyDescent="0.25">
      <c r="B35" s="179">
        <v>0.153</v>
      </c>
      <c r="C35" s="172" t="s">
        <v>142</v>
      </c>
      <c r="D35">
        <f>B35*4.19</f>
        <v>0.64107000000000003</v>
      </c>
      <c r="E35" s="117" t="s">
        <v>143</v>
      </c>
      <c r="F35" s="195" t="s">
        <v>256</v>
      </c>
      <c r="G35" s="196" t="s">
        <v>258</v>
      </c>
    </row>
    <row r="36" spans="2:7" ht="13" thickBot="1" x14ac:dyDescent="0.3">
      <c r="B36" s="179">
        <f>4/12</f>
        <v>0.33333333333333331</v>
      </c>
      <c r="C36" s="172" t="s">
        <v>144</v>
      </c>
      <c r="D36">
        <f>B36*1.73</f>
        <v>0.57666666666666666</v>
      </c>
      <c r="E36" s="117" t="s">
        <v>113</v>
      </c>
      <c r="G36" s="208" t="s">
        <v>259</v>
      </c>
    </row>
    <row r="37" spans="2:7" x14ac:dyDescent="0.25">
      <c r="B37" s="180"/>
      <c r="C37" s="115"/>
      <c r="D37" s="115"/>
      <c r="E37" s="116"/>
      <c r="F37" s="195" t="s">
        <v>257</v>
      </c>
      <c r="G37" s="196" t="s">
        <v>258</v>
      </c>
    </row>
    <row r="38" spans="2:7" ht="14.5" x14ac:dyDescent="0.25">
      <c r="B38" s="179">
        <v>1</v>
      </c>
      <c r="C38" t="s">
        <v>141</v>
      </c>
      <c r="D38" s="173">
        <f>B38/27.68</f>
        <v>3.6127167630057806E-2</v>
      </c>
      <c r="E38" s="117" t="s">
        <v>140</v>
      </c>
      <c r="G38" s="208" t="s">
        <v>260</v>
      </c>
    </row>
    <row r="39" spans="2:7" x14ac:dyDescent="0.25">
      <c r="B39" s="179">
        <v>1</v>
      </c>
      <c r="C39" t="s">
        <v>143</v>
      </c>
      <c r="D39" s="173">
        <f>B39/4.19</f>
        <v>0.2386634844868735</v>
      </c>
      <c r="E39" s="175" t="s">
        <v>142</v>
      </c>
    </row>
    <row r="40" spans="2:7" ht="13" thickBot="1" x14ac:dyDescent="0.3">
      <c r="B40" s="181">
        <v>1</v>
      </c>
      <c r="C40" s="118" t="s">
        <v>113</v>
      </c>
      <c r="D40" s="174">
        <f>B40/1.73</f>
        <v>0.5780346820809249</v>
      </c>
      <c r="E40" s="176" t="s">
        <v>144</v>
      </c>
    </row>
  </sheetData>
  <sheetProtection password="C7BC" sheet="1" objects="1" scenarios="1"/>
  <phoneticPr fontId="0" type="noConversion"/>
  <pageMargins left="0.75" right="0.75" top="1" bottom="1" header="0.5" footer="0.5"/>
  <pageSetup orientation="landscape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A670F-74D9-40DC-9BEB-E0DC988D9D48}">
  <sheetPr>
    <pageSetUpPr autoPageBreaks="0"/>
  </sheetPr>
  <dimension ref="A1:Q69"/>
  <sheetViews>
    <sheetView showGridLines="0" topLeftCell="A48" zoomScale="90" workbookViewId="0">
      <selection activeCell="C55" sqref="C5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2.5" x14ac:dyDescent="0.25"/>
  <cols>
    <col min="1" max="1" width="3.54296875" customWidth="1"/>
    <col min="4" max="4" width="15.453125" customWidth="1"/>
    <col min="5" max="5" width="7.1796875" customWidth="1"/>
    <col min="6" max="6" width="5" customWidth="1"/>
    <col min="8" max="8" width="8.81640625" customWidth="1"/>
    <col min="9" max="9" width="12.1796875" customWidth="1"/>
  </cols>
  <sheetData>
    <row r="1" spans="3:3" ht="15.5" x14ac:dyDescent="0.35">
      <c r="C1" s="154" t="s">
        <v>145</v>
      </c>
    </row>
    <row r="3" spans="3:3" ht="13" x14ac:dyDescent="0.3">
      <c r="C3" t="s">
        <v>146</v>
      </c>
    </row>
    <row r="4" spans="3:3" x14ac:dyDescent="0.25">
      <c r="C4" t="s">
        <v>147</v>
      </c>
    </row>
    <row r="5" spans="3:3" x14ac:dyDescent="0.25">
      <c r="C5" t="s">
        <v>148</v>
      </c>
    </row>
    <row r="6" spans="3:3" ht="13" x14ac:dyDescent="0.3">
      <c r="C6" t="s">
        <v>149</v>
      </c>
    </row>
    <row r="8" spans="3:3" x14ac:dyDescent="0.25">
      <c r="C8" t="s">
        <v>150</v>
      </c>
    </row>
    <row r="9" spans="3:3" x14ac:dyDescent="0.25">
      <c r="C9" t="s">
        <v>151</v>
      </c>
    </row>
    <row r="10" spans="3:3" x14ac:dyDescent="0.25">
      <c r="C10" t="s">
        <v>152</v>
      </c>
    </row>
    <row r="11" spans="3:3" x14ac:dyDescent="0.25">
      <c r="C11" t="s">
        <v>153</v>
      </c>
    </row>
    <row r="13" spans="3:3" x14ac:dyDescent="0.25">
      <c r="C13" t="s">
        <v>154</v>
      </c>
    </row>
    <row r="14" spans="3:3" ht="13" x14ac:dyDescent="0.3">
      <c r="C14" t="s">
        <v>155</v>
      </c>
    </row>
    <row r="15" spans="3:3" x14ac:dyDescent="0.25">
      <c r="C15" t="s">
        <v>156</v>
      </c>
    </row>
    <row r="17" spans="3:8" x14ac:dyDescent="0.25">
      <c r="H17" t="s">
        <v>157</v>
      </c>
    </row>
    <row r="21" spans="3:8" ht="13" x14ac:dyDescent="0.3">
      <c r="C21" t="s">
        <v>158</v>
      </c>
    </row>
    <row r="22" spans="3:8" ht="14.5" x14ac:dyDescent="0.25">
      <c r="G22" s="130" t="s">
        <v>159</v>
      </c>
    </row>
    <row r="23" spans="3:8" ht="13" x14ac:dyDescent="0.3">
      <c r="C23" t="s">
        <v>160</v>
      </c>
      <c r="G23" s="130"/>
    </row>
    <row r="24" spans="3:8" ht="13" x14ac:dyDescent="0.3">
      <c r="C24" s="92" t="s">
        <v>161</v>
      </c>
      <c r="G24" s="130"/>
    </row>
    <row r="25" spans="3:8" ht="13" x14ac:dyDescent="0.3">
      <c r="C25" s="92"/>
      <c r="G25" s="130"/>
    </row>
    <row r="26" spans="3:8" x14ac:dyDescent="0.25">
      <c r="C26" s="106" t="s">
        <v>162</v>
      </c>
      <c r="G26" s="130"/>
    </row>
    <row r="27" spans="3:8" ht="13" x14ac:dyDescent="0.3">
      <c r="C27" t="s">
        <v>163</v>
      </c>
    </row>
    <row r="28" spans="3:8" x14ac:dyDescent="0.25">
      <c r="C28" t="s">
        <v>164</v>
      </c>
    </row>
    <row r="29" spans="3:8" ht="13" x14ac:dyDescent="0.3">
      <c r="C29" t="s">
        <v>165</v>
      </c>
    </row>
    <row r="30" spans="3:8" x14ac:dyDescent="0.25">
      <c r="C30" t="s">
        <v>166</v>
      </c>
    </row>
    <row r="36" spans="1:16" x14ac:dyDescent="0.25">
      <c r="B36" s="98"/>
      <c r="C36" s="98"/>
      <c r="D36" s="98"/>
      <c r="E36" s="98"/>
      <c r="G36" s="1" t="s">
        <v>167</v>
      </c>
    </row>
    <row r="37" spans="1:16" x14ac:dyDescent="0.25">
      <c r="A37" s="96"/>
      <c r="F37" s="95"/>
    </row>
    <row r="38" spans="1:16" ht="13" x14ac:dyDescent="0.3">
      <c r="A38" s="96"/>
      <c r="C38" s="68" t="s">
        <v>168</v>
      </c>
      <c r="F38" s="95"/>
    </row>
    <row r="39" spans="1:16" x14ac:dyDescent="0.25">
      <c r="A39" s="96"/>
      <c r="F39" s="95"/>
      <c r="O39" s="45"/>
    </row>
    <row r="40" spans="1:16" ht="13" x14ac:dyDescent="0.3">
      <c r="A40" s="96"/>
      <c r="B40" s="189" t="s">
        <v>169</v>
      </c>
      <c r="C40" s="189"/>
      <c r="D40" s="189"/>
      <c r="F40" s="95"/>
      <c r="O40" s="86"/>
    </row>
    <row r="41" spans="1:16" ht="16" customHeight="1" x14ac:dyDescent="0.25">
      <c r="A41" s="96"/>
      <c r="B41" s="45" t="s">
        <v>170</v>
      </c>
      <c r="C41" s="182"/>
      <c r="D41" t="s">
        <v>171</v>
      </c>
      <c r="F41" s="95"/>
      <c r="G41" s="45" t="s">
        <v>172</v>
      </c>
      <c r="H41" s="106">
        <f>IF(ISBLANK(C49),C41,C49/4.187)</f>
        <v>0.40363028421304031</v>
      </c>
      <c r="I41" t="s">
        <v>171</v>
      </c>
      <c r="J41" t="s">
        <v>173</v>
      </c>
      <c r="O41" s="86"/>
    </row>
    <row r="42" spans="1:16" ht="16" customHeight="1" x14ac:dyDescent="0.3">
      <c r="A42" s="96"/>
      <c r="B42" s="45" t="s">
        <v>174</v>
      </c>
      <c r="C42" s="182"/>
      <c r="D42" t="s">
        <v>175</v>
      </c>
      <c r="F42" s="95"/>
      <c r="G42" s="45" t="s">
        <v>176</v>
      </c>
      <c r="H42" s="107">
        <f>IF(ISBLANK(C50),C42,C50/0.4536)</f>
        <v>0.41666666666666669</v>
      </c>
      <c r="I42" t="s">
        <v>175</v>
      </c>
      <c r="J42" t="s">
        <v>177</v>
      </c>
      <c r="O42" s="134"/>
      <c r="P42" s="68"/>
    </row>
    <row r="43" spans="1:16" ht="16" customHeight="1" x14ac:dyDescent="0.25">
      <c r="A43" s="96"/>
      <c r="B43" s="45" t="s">
        <v>178</v>
      </c>
      <c r="C43" s="182"/>
      <c r="D43" t="s">
        <v>179</v>
      </c>
      <c r="F43" s="95"/>
      <c r="G43" s="45" t="s">
        <v>180</v>
      </c>
      <c r="H43" s="108">
        <f>IF(ISBLANK(C51),C43,C51)</f>
        <v>0.42</v>
      </c>
      <c r="I43" t="s">
        <v>179</v>
      </c>
      <c r="J43" t="s">
        <v>181</v>
      </c>
    </row>
    <row r="44" spans="1:16" ht="16" customHeight="1" x14ac:dyDescent="0.25">
      <c r="A44" s="96"/>
      <c r="B44" s="45" t="s">
        <v>182</v>
      </c>
      <c r="C44" s="182"/>
      <c r="D44" t="s">
        <v>183</v>
      </c>
      <c r="F44" s="95"/>
      <c r="G44" s="45" t="s">
        <v>184</v>
      </c>
      <c r="H44" s="108">
        <f>wp/tb</f>
        <v>0.99206349206349209</v>
      </c>
      <c r="I44" t="s">
        <v>185</v>
      </c>
      <c r="J44" t="s">
        <v>186</v>
      </c>
      <c r="O44" s="45"/>
    </row>
    <row r="45" spans="1:16" ht="16" customHeight="1" x14ac:dyDescent="0.25">
      <c r="A45" s="96"/>
      <c r="B45" s="45" t="s">
        <v>187</v>
      </c>
      <c r="C45" s="182"/>
      <c r="D45" t="s">
        <v>183</v>
      </c>
      <c r="F45" s="95"/>
      <c r="G45" s="45" t="s">
        <v>188</v>
      </c>
      <c r="H45" s="108">
        <f>IF(ISBLANK(C52),C44,C52/25.4)</f>
        <v>1.2204724409448819</v>
      </c>
      <c r="I45" t="s">
        <v>183</v>
      </c>
      <c r="J45" t="s">
        <v>189</v>
      </c>
      <c r="O45" s="45"/>
    </row>
    <row r="46" spans="1:16" ht="16" customHeight="1" x14ac:dyDescent="0.4">
      <c r="A46" s="96"/>
      <c r="B46" s="86" t="s">
        <v>190</v>
      </c>
      <c r="C46" s="182"/>
      <c r="D46" t="s">
        <v>191</v>
      </c>
      <c r="F46" s="95"/>
      <c r="G46" s="45" t="s">
        <v>192</v>
      </c>
      <c r="H46" s="108">
        <f>IF(ISBLANK(C53),C45,C53/25.4)</f>
        <v>9.330708661417324</v>
      </c>
      <c r="I46" t="s">
        <v>183</v>
      </c>
      <c r="J46" t="s">
        <v>193</v>
      </c>
      <c r="O46" s="45"/>
    </row>
    <row r="47" spans="1:16" ht="16" customHeight="1" x14ac:dyDescent="0.25">
      <c r="A47" s="96"/>
      <c r="F47" s="95"/>
      <c r="G47" s="45" t="s">
        <v>194</v>
      </c>
      <c r="H47">
        <f>(di/12)^2*PI()/4</f>
        <v>8.1242512088403988E-3</v>
      </c>
      <c r="I47" t="s">
        <v>195</v>
      </c>
      <c r="J47" t="s">
        <v>196</v>
      </c>
      <c r="O47" s="45"/>
    </row>
    <row r="48" spans="1:16" ht="16" customHeight="1" x14ac:dyDescent="0.3">
      <c r="A48" s="96"/>
      <c r="B48" s="189" t="s">
        <v>197</v>
      </c>
      <c r="C48" s="189"/>
      <c r="D48" s="189"/>
      <c r="F48" s="95"/>
      <c r="G48" s="45" t="s">
        <v>198</v>
      </c>
      <c r="H48" s="90">
        <f>w/s*3600</f>
        <v>439600.95270593354</v>
      </c>
      <c r="I48" t="s">
        <v>199</v>
      </c>
      <c r="J48" t="s">
        <v>200</v>
      </c>
      <c r="O48" s="134"/>
      <c r="P48" s="135"/>
    </row>
    <row r="49" spans="1:17" ht="16" customHeight="1" thickBot="1" x14ac:dyDescent="0.3">
      <c r="A49" s="96"/>
      <c r="B49" s="45" t="s">
        <v>170</v>
      </c>
      <c r="C49" s="182">
        <v>1.69</v>
      </c>
      <c r="D49" t="s">
        <v>201</v>
      </c>
      <c r="E49" s="1" t="s">
        <v>202</v>
      </c>
      <c r="F49" s="95"/>
      <c r="G49" s="45" t="s">
        <v>203</v>
      </c>
      <c r="H49" s="111">
        <f>di/l</f>
        <v>0.13080168776371306</v>
      </c>
      <c r="O49" s="45"/>
    </row>
    <row r="50" spans="1:17" ht="16" customHeight="1" thickBot="1" x14ac:dyDescent="0.35">
      <c r="A50" s="96"/>
      <c r="B50" s="45" t="s">
        <v>174</v>
      </c>
      <c r="C50" s="182">
        <v>0.189</v>
      </c>
      <c r="D50" t="s">
        <v>204</v>
      </c>
      <c r="F50" s="95"/>
      <c r="G50" s="45" t="s">
        <v>205</v>
      </c>
      <c r="H50" s="91">
        <f>0.024*cp*g^0.8/di^0.2*(1+diol^0.7)</f>
        <v>377.60071506573314</v>
      </c>
      <c r="I50" t="s">
        <v>206</v>
      </c>
      <c r="J50" s="68" t="s">
        <v>207</v>
      </c>
      <c r="O50" s="45"/>
    </row>
    <row r="51" spans="1:17" ht="16" customHeight="1" thickBot="1" x14ac:dyDescent="0.35">
      <c r="A51" s="96"/>
      <c r="B51" s="45" t="s">
        <v>178</v>
      </c>
      <c r="C51" s="182">
        <v>0.42</v>
      </c>
      <c r="D51" t="s">
        <v>179</v>
      </c>
      <c r="F51" s="95"/>
      <c r="G51" s="45" t="s">
        <v>208</v>
      </c>
      <c r="H51" s="91">
        <f>hm_e*5.6779</f>
        <v>2143.9791000717264</v>
      </c>
      <c r="I51" t="s">
        <v>209</v>
      </c>
      <c r="O51" s="45"/>
    </row>
    <row r="52" spans="1:17" ht="16" customHeight="1" x14ac:dyDescent="0.3">
      <c r="A52" s="96"/>
      <c r="B52" s="45" t="s">
        <v>182</v>
      </c>
      <c r="C52" s="182">
        <v>31</v>
      </c>
      <c r="D52" t="s">
        <v>210</v>
      </c>
      <c r="F52" s="95"/>
      <c r="G52" s="3"/>
      <c r="H52" s="153"/>
      <c r="I52" s="3"/>
      <c r="J52" s="3"/>
      <c r="O52" s="134"/>
      <c r="P52" s="136"/>
    </row>
    <row r="53" spans="1:17" ht="16" customHeight="1" x14ac:dyDescent="0.3">
      <c r="A53" s="96"/>
      <c r="B53" s="45" t="s">
        <v>187</v>
      </c>
      <c r="C53" s="182">
        <v>237</v>
      </c>
      <c r="D53" t="s">
        <v>210</v>
      </c>
      <c r="F53" s="95"/>
      <c r="G53" s="92" t="s">
        <v>211</v>
      </c>
    </row>
    <row r="54" spans="1:17" ht="16" customHeight="1" x14ac:dyDescent="0.4">
      <c r="A54" s="96"/>
      <c r="B54" s="86" t="s">
        <v>190</v>
      </c>
      <c r="C54" s="182">
        <v>500</v>
      </c>
      <c r="D54" t="s">
        <v>212</v>
      </c>
      <c r="E54" s="1" t="s">
        <v>213</v>
      </c>
      <c r="F54" s="95"/>
      <c r="G54" s="86" t="s">
        <v>214</v>
      </c>
      <c r="H54" s="109">
        <f>IF(ISBLANK(C54),C46,C54/4.785)</f>
        <v>104.4932079414838</v>
      </c>
      <c r="I54" t="s">
        <v>191</v>
      </c>
      <c r="J54" t="s">
        <v>215</v>
      </c>
      <c r="O54" s="45"/>
    </row>
    <row r="55" spans="1:17" ht="13" x14ac:dyDescent="0.3">
      <c r="A55" s="96"/>
      <c r="B55" s="45"/>
      <c r="F55" s="95"/>
      <c r="J55" t="s">
        <v>216</v>
      </c>
      <c r="O55" s="134"/>
      <c r="P55" s="135"/>
      <c r="Q55" s="68"/>
    </row>
    <row r="56" spans="1:17" x14ac:dyDescent="0.25">
      <c r="B56" s="155"/>
      <c r="C56" s="98"/>
      <c r="D56" s="98"/>
      <c r="E56" s="99"/>
      <c r="J56" t="s">
        <v>217</v>
      </c>
      <c r="M56" s="90"/>
    </row>
    <row r="57" spans="1:17" ht="15.5" x14ac:dyDescent="0.4">
      <c r="B57" s="93"/>
      <c r="C57" s="93"/>
      <c r="D57" s="93"/>
      <c r="E57" s="93"/>
      <c r="G57" s="45" t="s">
        <v>218</v>
      </c>
      <c r="H57" s="135">
        <f>(di/12)*g/(muf*116000/100000000)</f>
        <v>368858.08285611059</v>
      </c>
      <c r="I57" s="106" t="str">
        <f>IF(H57&gt;7000,"Valid &gt; 7000","Invalid (&lt; 7000)")</f>
        <v>Valid &gt; 7000</v>
      </c>
      <c r="J57" s="156" t="str">
        <f>IF(H57&lt;7000,"Invalid","")</f>
        <v/>
      </c>
    </row>
    <row r="59" spans="1:17" ht="15.5" x14ac:dyDescent="0.4">
      <c r="G59" s="100" t="s">
        <v>219</v>
      </c>
      <c r="H59" s="93" t="s">
        <v>220</v>
      </c>
      <c r="I59" s="93"/>
      <c r="J59" s="93"/>
      <c r="K59" s="93"/>
      <c r="L59" s="94"/>
    </row>
    <row r="60" spans="1:17" ht="13" x14ac:dyDescent="0.3">
      <c r="G60" s="95"/>
      <c r="H60" t="s">
        <v>221</v>
      </c>
      <c r="L60" s="96"/>
    </row>
    <row r="61" spans="1:17" ht="15" x14ac:dyDescent="0.3">
      <c r="G61" s="95"/>
      <c r="H61" t="s">
        <v>222</v>
      </c>
      <c r="L61" s="96"/>
    </row>
    <row r="62" spans="1:17" ht="13" x14ac:dyDescent="0.3">
      <c r="G62" s="110" t="s">
        <v>223</v>
      </c>
      <c r="H62" t="s">
        <v>224</v>
      </c>
      <c r="L62" s="96"/>
    </row>
    <row r="63" spans="1:17" ht="15" x14ac:dyDescent="0.3">
      <c r="G63" s="95"/>
      <c r="H63" t="s">
        <v>225</v>
      </c>
      <c r="L63" s="96"/>
    </row>
    <row r="64" spans="1:17" ht="6.75" customHeight="1" x14ac:dyDescent="0.25">
      <c r="G64" s="97"/>
      <c r="H64" s="98"/>
      <c r="I64" s="98"/>
      <c r="J64" s="98"/>
      <c r="K64" s="98"/>
      <c r="L64" s="99"/>
    </row>
    <row r="65" spans="1:11" x14ac:dyDescent="0.25">
      <c r="H65" t="s">
        <v>226</v>
      </c>
    </row>
    <row r="66" spans="1:11" x14ac:dyDescent="0.25">
      <c r="A66" t="s">
        <v>227</v>
      </c>
      <c r="H66" t="s">
        <v>228</v>
      </c>
    </row>
    <row r="67" spans="1:11" x14ac:dyDescent="0.25">
      <c r="H67" t="s">
        <v>229</v>
      </c>
      <c r="J67" s="171">
        <f>69.41/39.86</f>
        <v>1.7413447064726542</v>
      </c>
      <c r="K67" t="s">
        <v>110</v>
      </c>
    </row>
    <row r="68" spans="1:11" x14ac:dyDescent="0.25">
      <c r="H68" t="s">
        <v>230</v>
      </c>
      <c r="J68" s="171">
        <f>71.9/42.39</f>
        <v>1.6961547534795944</v>
      </c>
      <c r="K68" t="s">
        <v>110</v>
      </c>
    </row>
    <row r="69" spans="1:11" x14ac:dyDescent="0.25">
      <c r="H69" t="s">
        <v>231</v>
      </c>
      <c r="J69" s="171">
        <f>70.8/41.98</f>
        <v>1.6865173892329681</v>
      </c>
      <c r="K69" t="s">
        <v>110</v>
      </c>
    </row>
  </sheetData>
  <sheetProtection password="C7BC" sheet="1" objects="1" scenarios="1"/>
  <phoneticPr fontId="0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2" shapeId="2049" r:id="rId4">
          <objectPr defaultSize="0" autoPict="0" r:id="rId5">
            <anchor moveWithCells="1">
              <from>
                <xdr:col>4</xdr:col>
                <xdr:colOff>412750</xdr:colOff>
                <xdr:row>30</xdr:row>
                <xdr:rowOff>76200</xdr:rowOff>
              </from>
              <to>
                <xdr:col>10</xdr:col>
                <xdr:colOff>31750</xdr:colOff>
                <xdr:row>35</xdr:row>
                <xdr:rowOff>0</xdr:rowOff>
              </to>
            </anchor>
          </objectPr>
        </oleObject>
      </mc:Choice>
      <mc:Fallback>
        <oleObject progId="Equation.2" shapeId="2049" r:id="rId4"/>
      </mc:Fallback>
    </mc:AlternateContent>
    <mc:AlternateContent xmlns:mc="http://schemas.openxmlformats.org/markup-compatibility/2006">
      <mc:Choice Requires="x14">
        <oleObject progId="Equation.2" shapeId="2051" r:id="rId6">
          <objectPr defaultSize="0" autoPict="0" r:id="rId7">
            <anchor moveWithCells="1">
              <from>
                <xdr:col>2</xdr:col>
                <xdr:colOff>12700</xdr:colOff>
                <xdr:row>15</xdr:row>
                <xdr:rowOff>38100</xdr:rowOff>
              </from>
              <to>
                <xdr:col>6</xdr:col>
                <xdr:colOff>76200</xdr:colOff>
                <xdr:row>19</xdr:row>
                <xdr:rowOff>0</xdr:rowOff>
              </to>
            </anchor>
          </objectPr>
        </oleObject>
      </mc:Choice>
      <mc:Fallback>
        <oleObject progId="Equation.2" shapeId="2051" r:id="rId6"/>
      </mc:Fallback>
    </mc:AlternateContent>
    <mc:AlternateContent xmlns:mc="http://schemas.openxmlformats.org/markup-compatibility/2006">
      <mc:Choice Requires="x14">
        <oleObject progId="Equation.2" shapeId="2053" r:id="rId8">
          <objectPr defaultSize="0" autoPict="0" r:id="rId9">
            <anchor moveWithCells="1">
              <from>
                <xdr:col>7</xdr:col>
                <xdr:colOff>508000</xdr:colOff>
                <xdr:row>15</xdr:row>
                <xdr:rowOff>6350</xdr:rowOff>
              </from>
              <to>
                <xdr:col>11</xdr:col>
                <xdr:colOff>488950</xdr:colOff>
                <xdr:row>19</xdr:row>
                <xdr:rowOff>38100</xdr:rowOff>
              </to>
            </anchor>
          </objectPr>
        </oleObject>
      </mc:Choice>
      <mc:Fallback>
        <oleObject progId="Equation.2" shapeId="2053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0" name="Button 2">
              <controlPr defaultSize="0" print="0" autoFill="0" autoLine="0" autoPict="0" macro="[0]!Macro1">
                <anchor moveWithCells="1" sizeWithCells="1">
                  <from>
                    <xdr:col>3</xdr:col>
                    <xdr:colOff>298450</xdr:colOff>
                    <xdr:row>36</xdr:row>
                    <xdr:rowOff>101600</xdr:rowOff>
                  </from>
                  <to>
                    <xdr:col>4</xdr:col>
                    <xdr:colOff>273050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DA508-0CE1-43DD-84BA-EE878CA594B3}">
  <dimension ref="B2:I13"/>
  <sheetViews>
    <sheetView showGridLines="0" workbookViewId="0">
      <selection activeCell="H17" sqref="H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2.5" x14ac:dyDescent="0.25"/>
  <cols>
    <col min="3" max="3" width="11" customWidth="1"/>
    <col min="4" max="4" width="13.453125" customWidth="1"/>
    <col min="5" max="5" width="21.1796875" customWidth="1"/>
  </cols>
  <sheetData>
    <row r="2" spans="2:9" ht="13" x14ac:dyDescent="0.3">
      <c r="B2" s="228"/>
      <c r="C2" s="229" t="s">
        <v>232</v>
      </c>
      <c r="D2" s="223"/>
      <c r="E2" s="223"/>
      <c r="F2" s="223"/>
      <c r="G2" s="223"/>
      <c r="H2" s="223"/>
      <c r="I2" s="224"/>
    </row>
    <row r="3" spans="2:9" x14ac:dyDescent="0.25">
      <c r="B3" s="2"/>
      <c r="I3" s="230"/>
    </row>
    <row r="4" spans="2:9" x14ac:dyDescent="0.25">
      <c r="B4" s="231" t="s">
        <v>233</v>
      </c>
      <c r="C4" s="232" t="s">
        <v>234</v>
      </c>
      <c r="D4" s="232" t="s">
        <v>235</v>
      </c>
      <c r="E4" s="232" t="s">
        <v>236</v>
      </c>
      <c r="F4" s="233"/>
      <c r="G4" s="3"/>
      <c r="H4" s="3"/>
      <c r="I4" s="227"/>
    </row>
    <row r="5" spans="2:9" x14ac:dyDescent="0.25">
      <c r="B5" s="212">
        <v>1</v>
      </c>
      <c r="C5" s="213">
        <v>36582</v>
      </c>
      <c r="D5" s="214" t="s">
        <v>237</v>
      </c>
      <c r="E5" s="214" t="s">
        <v>238</v>
      </c>
      <c r="F5" s="215"/>
      <c r="G5" s="215"/>
      <c r="H5" s="215"/>
      <c r="I5" s="216"/>
    </row>
    <row r="6" spans="2:9" x14ac:dyDescent="0.25">
      <c r="B6" s="217">
        <v>1.01</v>
      </c>
      <c r="C6" s="213">
        <v>38399</v>
      </c>
      <c r="D6" s="214" t="s">
        <v>239</v>
      </c>
      <c r="E6" s="218" t="s">
        <v>240</v>
      </c>
      <c r="F6" s="215"/>
      <c r="G6" s="215"/>
      <c r="H6" s="215"/>
      <c r="I6" s="216"/>
    </row>
    <row r="7" spans="2:9" x14ac:dyDescent="0.25">
      <c r="B7" s="219">
        <v>1.02</v>
      </c>
      <c r="C7" s="220">
        <v>38619</v>
      </c>
      <c r="D7" s="221" t="s">
        <v>239</v>
      </c>
      <c r="E7" s="222" t="s">
        <v>245</v>
      </c>
      <c r="F7" s="223"/>
      <c r="G7" s="223"/>
      <c r="H7" s="223"/>
      <c r="I7" s="224"/>
    </row>
    <row r="8" spans="2:9" x14ac:dyDescent="0.25">
      <c r="B8" s="8"/>
      <c r="C8" s="225"/>
      <c r="D8" s="225" t="s">
        <v>239</v>
      </c>
      <c r="E8" s="226" t="s">
        <v>254</v>
      </c>
      <c r="F8" s="3"/>
      <c r="G8" s="3"/>
      <c r="H8" s="3"/>
      <c r="I8" s="227"/>
    </row>
    <row r="9" spans="2:9" x14ac:dyDescent="0.25">
      <c r="B9" s="217">
        <v>1.03</v>
      </c>
      <c r="C9" s="213">
        <v>38871</v>
      </c>
      <c r="D9" s="214" t="s">
        <v>239</v>
      </c>
      <c r="E9" s="218" t="s">
        <v>261</v>
      </c>
      <c r="F9" s="215"/>
      <c r="G9" s="215"/>
      <c r="H9" s="215"/>
      <c r="I9" s="216"/>
    </row>
    <row r="10" spans="2:9" x14ac:dyDescent="0.25">
      <c r="B10" s="130"/>
      <c r="C10" s="130"/>
      <c r="D10" s="130"/>
      <c r="E10" s="130"/>
    </row>
    <row r="11" spans="2:9" x14ac:dyDescent="0.25">
      <c r="B11" s="130"/>
      <c r="C11" s="130"/>
      <c r="D11" s="130"/>
      <c r="E11" s="130"/>
    </row>
    <row r="12" spans="2:9" x14ac:dyDescent="0.25">
      <c r="B12" s="130"/>
      <c r="C12" s="130"/>
      <c r="D12" s="130"/>
      <c r="E12" s="130"/>
    </row>
    <row r="13" spans="2:9" x14ac:dyDescent="0.25">
      <c r="B13" s="130"/>
      <c r="C13" s="130"/>
      <c r="D13" s="130"/>
      <c r="E13" s="130"/>
    </row>
  </sheetData>
  <sheetProtection password="C7BC" sheet="1" objects="1" scenarios="1"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Intro</vt:lpstr>
      <vt:lpstr>Plotting</vt:lpstr>
      <vt:lpstr>Properties</vt:lpstr>
      <vt:lpstr>Convection Coef.</vt:lpstr>
      <vt:lpstr>Revisions</vt:lpstr>
      <vt:lpstr>cp</vt:lpstr>
      <vt:lpstr>cpm</vt:lpstr>
      <vt:lpstr>di</vt:lpstr>
      <vt:lpstr>dim</vt:lpstr>
      <vt:lpstr>diol</vt:lpstr>
      <vt:lpstr>g</vt:lpstr>
      <vt:lpstr>hm_e</vt:lpstr>
      <vt:lpstr>k</vt:lpstr>
      <vt:lpstr>l</vt:lpstr>
      <vt:lpstr>m</vt:lpstr>
      <vt:lpstr>muf</vt:lpstr>
      <vt:lpstr>mum</vt:lpstr>
      <vt:lpstr>n</vt:lpstr>
      <vt:lpstr>nu</vt:lpstr>
      <vt:lpstr>pr</vt:lpstr>
      <vt:lpstr>re</vt:lpstr>
      <vt:lpstr>s</vt:lpstr>
      <vt:lpstr>tb</vt:lpstr>
      <vt:lpstr>tbm</vt:lpstr>
      <vt:lpstr>w</vt:lpstr>
      <vt:lpstr>wp</vt:lpstr>
      <vt:lpstr>wpm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2000-02-01T02:19:05Z</cp:lastPrinted>
  <dcterms:created xsi:type="dcterms:W3CDTF">2000-01-29T16:55:44Z</dcterms:created>
  <dcterms:modified xsi:type="dcterms:W3CDTF">2025-06-22T23:56:45Z</dcterms:modified>
</cp:coreProperties>
</file>